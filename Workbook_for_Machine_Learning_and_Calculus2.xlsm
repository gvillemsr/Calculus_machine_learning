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sravi/Library/Mobile Documents/com~apple~CloudDocs/ML2/"/>
    </mc:Choice>
  </mc:AlternateContent>
  <xr:revisionPtr revIDLastSave="0" documentId="13_ncr:1_{1BCF9EC5-5B43-9B43-9161-FAC6488850B6}" xr6:coauthVersionLast="46" xr6:coauthVersionMax="46" xr10:uidLastSave="{00000000-0000-0000-0000-000000000000}"/>
  <bookViews>
    <workbookView xWindow="860" yWindow="500" windowWidth="32580" windowHeight="16680" xr2:uid="{B97580D7-2B63-A84F-A5D4-B5392FF5358D}"/>
  </bookViews>
  <sheets>
    <sheet name="Training_Data" sheetId="1" r:id="rId1"/>
    <sheet name="iteration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5" i="1" l="1"/>
  <c r="H46" i="1" s="1"/>
  <c r="H47" i="1" s="1"/>
  <c r="H48" i="1" s="1"/>
  <c r="H49" i="1" s="1"/>
  <c r="A667" i="2" l="1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H10" i="1" l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B653" i="2" l="1"/>
  <c r="C653" i="2" s="1"/>
  <c r="D653" i="2" s="1"/>
  <c r="B649" i="2"/>
  <c r="C649" i="2" s="1"/>
  <c r="D649" i="2" s="1"/>
  <c r="B629" i="2"/>
  <c r="C629" i="2" s="1"/>
  <c r="D629" i="2" s="1"/>
  <c r="B608" i="2"/>
  <c r="C608" i="2" s="1"/>
  <c r="D608" i="2" s="1"/>
  <c r="B594" i="2"/>
  <c r="C594" i="2" s="1"/>
  <c r="D594" i="2" s="1"/>
  <c r="E594" i="2" s="1"/>
  <c r="B589" i="2"/>
  <c r="C589" i="2" s="1"/>
  <c r="D589" i="2" s="1"/>
  <c r="B572" i="2"/>
  <c r="C572" i="2" s="1"/>
  <c r="D572" i="2" s="1"/>
  <c r="B555" i="2"/>
  <c r="C555" i="2" s="1"/>
  <c r="D555" i="2" s="1"/>
  <c r="B521" i="2"/>
  <c r="C521" i="2" s="1"/>
  <c r="D521" i="2" s="1"/>
  <c r="B505" i="2"/>
  <c r="C505" i="2" s="1"/>
  <c r="D505" i="2" s="1"/>
  <c r="B482" i="2"/>
  <c r="C482" i="2" s="1"/>
  <c r="D482" i="2" s="1"/>
  <c r="B465" i="2"/>
  <c r="C465" i="2" s="1"/>
  <c r="D465" i="2" s="1"/>
  <c r="B452" i="2"/>
  <c r="C452" i="2" s="1"/>
  <c r="D452" i="2" s="1"/>
  <c r="B450" i="2"/>
  <c r="C450" i="2" s="1"/>
  <c r="D450" i="2" s="1"/>
  <c r="B437" i="2"/>
  <c r="C437" i="2" s="1"/>
  <c r="D437" i="2" s="1"/>
  <c r="B421" i="2"/>
  <c r="C421" i="2" s="1"/>
  <c r="D421" i="2" s="1"/>
  <c r="B384" i="2"/>
  <c r="C384" i="2" s="1"/>
  <c r="D384" i="2" s="1"/>
  <c r="B369" i="2"/>
  <c r="C369" i="2" s="1"/>
  <c r="D369" i="2" s="1"/>
  <c r="B347" i="2"/>
  <c r="C347" i="2" s="1"/>
  <c r="D347" i="2" s="1"/>
  <c r="B328" i="2"/>
  <c r="C328" i="2" s="1"/>
  <c r="D328" i="2" s="1"/>
  <c r="B324" i="2"/>
  <c r="C324" i="2" s="1"/>
  <c r="D324" i="2" s="1"/>
  <c r="B305" i="2"/>
  <c r="C305" i="2" s="1"/>
  <c r="D305" i="2" s="1"/>
  <c r="E305" i="2" s="1"/>
  <c r="B265" i="2"/>
  <c r="C265" i="2" s="1"/>
  <c r="D265" i="2" s="1"/>
  <c r="B260" i="2"/>
  <c r="C260" i="2" s="1"/>
  <c r="D260" i="2" s="1"/>
  <c r="B259" i="2"/>
  <c r="C259" i="2" s="1"/>
  <c r="D259" i="2" s="1"/>
  <c r="B252" i="2"/>
  <c r="C252" i="2" s="1"/>
  <c r="D252" i="2" s="1"/>
  <c r="B251" i="2"/>
  <c r="C251" i="2" s="1"/>
  <c r="D251" i="2" s="1"/>
  <c r="B245" i="2"/>
  <c r="C245" i="2" s="1"/>
  <c r="D245" i="2" s="1"/>
  <c r="B240" i="2"/>
  <c r="C240" i="2" s="1"/>
  <c r="D240" i="2" s="1"/>
  <c r="B236" i="2"/>
  <c r="C236" i="2" s="1"/>
  <c r="D236" i="2" s="1"/>
  <c r="B235" i="2"/>
  <c r="C235" i="2" s="1"/>
  <c r="D235" i="2" s="1"/>
  <c r="B229" i="2"/>
  <c r="C229" i="2" s="1"/>
  <c r="D229" i="2" s="1"/>
  <c r="B217" i="2"/>
  <c r="C217" i="2" s="1"/>
  <c r="D217" i="2" s="1"/>
  <c r="B216" i="2"/>
  <c r="C216" i="2" s="1"/>
  <c r="D216" i="2" s="1"/>
  <c r="B211" i="2"/>
  <c r="C211" i="2" s="1"/>
  <c r="D211" i="2" s="1"/>
  <c r="B204" i="2"/>
  <c r="C204" i="2" s="1"/>
  <c r="D204" i="2" s="1"/>
  <c r="B203" i="2"/>
  <c r="C203" i="2" s="1"/>
  <c r="D203" i="2" s="1"/>
  <c r="E203" i="2" s="1"/>
  <c r="B197" i="2"/>
  <c r="C197" i="2" s="1"/>
  <c r="D197" i="2" s="1"/>
  <c r="B186" i="2"/>
  <c r="C186" i="2" s="1"/>
  <c r="D186" i="2" s="1"/>
  <c r="E186" i="2" s="1"/>
  <c r="B185" i="2"/>
  <c r="C185" i="2" s="1"/>
  <c r="D185" i="2" s="1"/>
  <c r="B181" i="2"/>
  <c r="C181" i="2" s="1"/>
  <c r="D181" i="2" s="1"/>
  <c r="B180" i="2"/>
  <c r="C180" i="2" s="1"/>
  <c r="D180" i="2" s="1"/>
  <c r="B172" i="2"/>
  <c r="C172" i="2" s="1"/>
  <c r="D172" i="2" s="1"/>
  <c r="B171" i="2"/>
  <c r="C171" i="2" s="1"/>
  <c r="D171" i="2" s="1"/>
  <c r="E171" i="2" s="1"/>
  <c r="B161" i="2"/>
  <c r="C161" i="2" s="1"/>
  <c r="D161" i="2" s="1"/>
  <c r="E161" i="2" s="1"/>
  <c r="B160" i="2"/>
  <c r="C160" i="2" s="1"/>
  <c r="D160" i="2" s="1"/>
  <c r="B155" i="2"/>
  <c r="C155" i="2" s="1"/>
  <c r="D155" i="2" s="1"/>
  <c r="B147" i="2"/>
  <c r="C147" i="2" s="1"/>
  <c r="D147" i="2" s="1"/>
  <c r="B136" i="2"/>
  <c r="C136" i="2" s="1"/>
  <c r="D136" i="2" s="1"/>
  <c r="B131" i="2"/>
  <c r="C131" i="2" s="1"/>
  <c r="D131" i="2" s="1"/>
  <c r="B120" i="2"/>
  <c r="C120" i="2" s="1"/>
  <c r="D120" i="2" s="1"/>
  <c r="B117" i="2"/>
  <c r="C117" i="2" s="1"/>
  <c r="D117" i="2" s="1"/>
  <c r="B116" i="2"/>
  <c r="C116" i="2" s="1"/>
  <c r="D116" i="2" s="1"/>
  <c r="B112" i="2"/>
  <c r="C112" i="2" s="1"/>
  <c r="D112" i="2" s="1"/>
  <c r="B107" i="2"/>
  <c r="C107" i="2" s="1"/>
  <c r="D107" i="2" s="1"/>
  <c r="B101" i="2"/>
  <c r="C101" i="2" s="1"/>
  <c r="D101" i="2" s="1"/>
  <c r="B91" i="2"/>
  <c r="C91" i="2" s="1"/>
  <c r="D91" i="2" s="1"/>
  <c r="B90" i="2"/>
  <c r="C90" i="2" s="1"/>
  <c r="D90" i="2" s="1"/>
  <c r="B80" i="2"/>
  <c r="C80" i="2" s="1"/>
  <c r="D80" i="2" s="1"/>
  <c r="B76" i="2"/>
  <c r="C76" i="2" s="1"/>
  <c r="D76" i="2" s="1"/>
  <c r="E76" i="2" s="1"/>
  <c r="B64" i="2"/>
  <c r="C64" i="2" s="1"/>
  <c r="D64" i="2" s="1"/>
  <c r="B56" i="2"/>
  <c r="C56" i="2" s="1"/>
  <c r="D56" i="2" s="1"/>
  <c r="B53" i="2"/>
  <c r="C53" i="2" s="1"/>
  <c r="D53" i="2" s="1"/>
  <c r="B50" i="2"/>
  <c r="C50" i="2" s="1"/>
  <c r="D50" i="2" s="1"/>
  <c r="B37" i="2"/>
  <c r="C37" i="2" s="1"/>
  <c r="D37" i="2" s="1"/>
  <c r="B32" i="2"/>
  <c r="C32" i="2" s="1"/>
  <c r="D32" i="2" s="1"/>
  <c r="B27" i="2"/>
  <c r="C27" i="2" s="1"/>
  <c r="D27" i="2" s="1"/>
  <c r="E27" i="2" s="1"/>
  <c r="B26" i="2"/>
  <c r="C26" i="2" s="1"/>
  <c r="D26" i="2" s="1"/>
  <c r="B21" i="2"/>
  <c r="C21" i="2" s="1"/>
  <c r="D21" i="2" s="1"/>
  <c r="B17" i="2"/>
  <c r="C17" i="2" s="1"/>
  <c r="D17" i="2" s="1"/>
  <c r="B13" i="2"/>
  <c r="C13" i="2" s="1"/>
  <c r="D13" i="2" s="1"/>
  <c r="B3" i="2"/>
  <c r="C3" i="2" s="1"/>
  <c r="D3" i="2" s="1"/>
  <c r="B667" i="2"/>
  <c r="C667" i="2" s="1"/>
  <c r="D667" i="2" s="1"/>
  <c r="B666" i="2"/>
  <c r="C666" i="2" s="1"/>
  <c r="D666" i="2" s="1"/>
  <c r="E666" i="2" s="1"/>
  <c r="B665" i="2"/>
  <c r="C665" i="2" s="1"/>
  <c r="D665" i="2" s="1"/>
  <c r="B664" i="2"/>
  <c r="C664" i="2" s="1"/>
  <c r="D664" i="2" s="1"/>
  <c r="B663" i="2"/>
  <c r="C663" i="2" s="1"/>
  <c r="D663" i="2" s="1"/>
  <c r="B662" i="2"/>
  <c r="C662" i="2" s="1"/>
  <c r="D662" i="2" s="1"/>
  <c r="B661" i="2"/>
  <c r="C661" i="2" s="1"/>
  <c r="D661" i="2" s="1"/>
  <c r="B660" i="2"/>
  <c r="C660" i="2" s="1"/>
  <c r="D660" i="2" s="1"/>
  <c r="B659" i="2"/>
  <c r="C659" i="2" s="1"/>
  <c r="D659" i="2" s="1"/>
  <c r="B658" i="2"/>
  <c r="C658" i="2" s="1"/>
  <c r="D658" i="2" s="1"/>
  <c r="E658" i="2" s="1"/>
  <c r="B657" i="2"/>
  <c r="C657" i="2" s="1"/>
  <c r="D657" i="2" s="1"/>
  <c r="B656" i="2"/>
  <c r="C656" i="2" s="1"/>
  <c r="D656" i="2" s="1"/>
  <c r="B655" i="2"/>
  <c r="C655" i="2" s="1"/>
  <c r="D655" i="2" s="1"/>
  <c r="B654" i="2"/>
  <c r="C654" i="2" s="1"/>
  <c r="D654" i="2" s="1"/>
  <c r="B652" i="2"/>
  <c r="C652" i="2" s="1"/>
  <c r="D652" i="2" s="1"/>
  <c r="B651" i="2"/>
  <c r="C651" i="2" s="1"/>
  <c r="D651" i="2" s="1"/>
  <c r="B650" i="2"/>
  <c r="C650" i="2" s="1"/>
  <c r="D650" i="2" s="1"/>
  <c r="E650" i="2" s="1"/>
  <c r="B648" i="2"/>
  <c r="C648" i="2" s="1"/>
  <c r="D648" i="2" s="1"/>
  <c r="B647" i="2"/>
  <c r="C647" i="2" s="1"/>
  <c r="D647" i="2" s="1"/>
  <c r="B646" i="2"/>
  <c r="C646" i="2" s="1"/>
  <c r="D646" i="2" s="1"/>
  <c r="E646" i="2" s="1"/>
  <c r="B645" i="2"/>
  <c r="C645" i="2" s="1"/>
  <c r="D645" i="2" s="1"/>
  <c r="B644" i="2"/>
  <c r="C644" i="2" s="1"/>
  <c r="D644" i="2" s="1"/>
  <c r="B643" i="2"/>
  <c r="C643" i="2" s="1"/>
  <c r="D643" i="2" s="1"/>
  <c r="B642" i="2"/>
  <c r="C642" i="2" s="1"/>
  <c r="D642" i="2" s="1"/>
  <c r="B641" i="2"/>
  <c r="C641" i="2" s="1"/>
  <c r="D641" i="2" s="1"/>
  <c r="B640" i="2"/>
  <c r="C640" i="2" s="1"/>
  <c r="D640" i="2" s="1"/>
  <c r="B639" i="2"/>
  <c r="C639" i="2" s="1"/>
  <c r="D639" i="2" s="1"/>
  <c r="B638" i="2"/>
  <c r="C638" i="2" s="1"/>
  <c r="D638" i="2" s="1"/>
  <c r="B637" i="2"/>
  <c r="C637" i="2" s="1"/>
  <c r="D637" i="2" s="1"/>
  <c r="B636" i="2"/>
  <c r="C636" i="2" s="1"/>
  <c r="D636" i="2" s="1"/>
  <c r="B635" i="2"/>
  <c r="C635" i="2" s="1"/>
  <c r="D635" i="2" s="1"/>
  <c r="B634" i="2"/>
  <c r="C634" i="2" s="1"/>
  <c r="D634" i="2" s="1"/>
  <c r="B633" i="2"/>
  <c r="C633" i="2" s="1"/>
  <c r="D633" i="2" s="1"/>
  <c r="B632" i="2"/>
  <c r="C632" i="2" s="1"/>
  <c r="D632" i="2" s="1"/>
  <c r="B631" i="2"/>
  <c r="C631" i="2" s="1"/>
  <c r="D631" i="2" s="1"/>
  <c r="B630" i="2"/>
  <c r="C630" i="2" s="1"/>
  <c r="D630" i="2" s="1"/>
  <c r="E630" i="2" s="1"/>
  <c r="B628" i="2"/>
  <c r="C628" i="2" s="1"/>
  <c r="D628" i="2" s="1"/>
  <c r="B627" i="2"/>
  <c r="C627" i="2" s="1"/>
  <c r="D627" i="2" s="1"/>
  <c r="B626" i="2"/>
  <c r="C626" i="2" s="1"/>
  <c r="D626" i="2" s="1"/>
  <c r="B625" i="2"/>
  <c r="C625" i="2" s="1"/>
  <c r="D625" i="2" s="1"/>
  <c r="B624" i="2"/>
  <c r="C624" i="2" s="1"/>
  <c r="D624" i="2" s="1"/>
  <c r="B623" i="2"/>
  <c r="C623" i="2" s="1"/>
  <c r="D623" i="2" s="1"/>
  <c r="B622" i="2"/>
  <c r="C622" i="2" s="1"/>
  <c r="D622" i="2" s="1"/>
  <c r="E622" i="2" s="1"/>
  <c r="B621" i="2"/>
  <c r="C621" i="2" s="1"/>
  <c r="D621" i="2" s="1"/>
  <c r="B620" i="2"/>
  <c r="C620" i="2" s="1"/>
  <c r="D620" i="2" s="1"/>
  <c r="B619" i="2"/>
  <c r="C619" i="2" s="1"/>
  <c r="D619" i="2" s="1"/>
  <c r="B618" i="2"/>
  <c r="C618" i="2" s="1"/>
  <c r="D618" i="2" s="1"/>
  <c r="B617" i="2"/>
  <c r="C617" i="2" s="1"/>
  <c r="D617" i="2" s="1"/>
  <c r="B616" i="2"/>
  <c r="C616" i="2" s="1"/>
  <c r="D616" i="2" s="1"/>
  <c r="B615" i="2"/>
  <c r="C615" i="2" s="1"/>
  <c r="D615" i="2" s="1"/>
  <c r="B614" i="2"/>
  <c r="C614" i="2" s="1"/>
  <c r="D614" i="2" s="1"/>
  <c r="B613" i="2"/>
  <c r="C613" i="2" s="1"/>
  <c r="D613" i="2" s="1"/>
  <c r="B612" i="2"/>
  <c r="C612" i="2" s="1"/>
  <c r="D612" i="2" s="1"/>
  <c r="B611" i="2"/>
  <c r="C611" i="2" s="1"/>
  <c r="D611" i="2" s="1"/>
  <c r="B610" i="2"/>
  <c r="C610" i="2" s="1"/>
  <c r="D610" i="2" s="1"/>
  <c r="B609" i="2"/>
  <c r="C609" i="2" s="1"/>
  <c r="D609" i="2" s="1"/>
  <c r="B607" i="2"/>
  <c r="C607" i="2" s="1"/>
  <c r="D607" i="2" s="1"/>
  <c r="B606" i="2"/>
  <c r="C606" i="2" s="1"/>
  <c r="D606" i="2" s="1"/>
  <c r="E606" i="2" s="1"/>
  <c r="B605" i="2"/>
  <c r="C605" i="2" s="1"/>
  <c r="D605" i="2" s="1"/>
  <c r="B604" i="2"/>
  <c r="C604" i="2" s="1"/>
  <c r="D604" i="2" s="1"/>
  <c r="B603" i="2"/>
  <c r="C603" i="2" s="1"/>
  <c r="D603" i="2" s="1"/>
  <c r="B602" i="2"/>
  <c r="C602" i="2" s="1"/>
  <c r="D602" i="2" s="1"/>
  <c r="B601" i="2"/>
  <c r="C601" i="2" s="1"/>
  <c r="D601" i="2" s="1"/>
  <c r="B600" i="2"/>
  <c r="C600" i="2" s="1"/>
  <c r="D600" i="2" s="1"/>
  <c r="B599" i="2"/>
  <c r="C599" i="2" s="1"/>
  <c r="D599" i="2" s="1"/>
  <c r="B598" i="2"/>
  <c r="C598" i="2" s="1"/>
  <c r="D598" i="2" s="1"/>
  <c r="B597" i="2"/>
  <c r="C597" i="2" s="1"/>
  <c r="D597" i="2" s="1"/>
  <c r="B596" i="2"/>
  <c r="C596" i="2" s="1"/>
  <c r="D596" i="2" s="1"/>
  <c r="B595" i="2"/>
  <c r="C595" i="2" s="1"/>
  <c r="D595" i="2" s="1"/>
  <c r="B593" i="2"/>
  <c r="C593" i="2" s="1"/>
  <c r="D593" i="2" s="1"/>
  <c r="B592" i="2"/>
  <c r="C592" i="2" s="1"/>
  <c r="D592" i="2" s="1"/>
  <c r="B591" i="2"/>
  <c r="C591" i="2" s="1"/>
  <c r="D591" i="2" s="1"/>
  <c r="B590" i="2"/>
  <c r="C590" i="2" s="1"/>
  <c r="D590" i="2" s="1"/>
  <c r="B588" i="2"/>
  <c r="C588" i="2" s="1"/>
  <c r="D588" i="2" s="1"/>
  <c r="B587" i="2"/>
  <c r="C587" i="2" s="1"/>
  <c r="D587" i="2" s="1"/>
  <c r="B586" i="2"/>
  <c r="C586" i="2" s="1"/>
  <c r="D586" i="2" s="1"/>
  <c r="B585" i="2"/>
  <c r="C585" i="2" s="1"/>
  <c r="D585" i="2" s="1"/>
  <c r="E585" i="2" s="1"/>
  <c r="B584" i="2"/>
  <c r="C584" i="2" s="1"/>
  <c r="D584" i="2" s="1"/>
  <c r="B583" i="2"/>
  <c r="C583" i="2" s="1"/>
  <c r="D583" i="2" s="1"/>
  <c r="B582" i="2"/>
  <c r="C582" i="2" s="1"/>
  <c r="D582" i="2" s="1"/>
  <c r="B581" i="2"/>
  <c r="C581" i="2" s="1"/>
  <c r="D581" i="2" s="1"/>
  <c r="B580" i="2"/>
  <c r="C580" i="2" s="1"/>
  <c r="D580" i="2" s="1"/>
  <c r="B579" i="2"/>
  <c r="C579" i="2" s="1"/>
  <c r="D579" i="2" s="1"/>
  <c r="B578" i="2"/>
  <c r="C578" i="2" s="1"/>
  <c r="D578" i="2" s="1"/>
  <c r="B577" i="2"/>
  <c r="C577" i="2" s="1"/>
  <c r="D577" i="2" s="1"/>
  <c r="B576" i="2"/>
  <c r="C576" i="2" s="1"/>
  <c r="D576" i="2" s="1"/>
  <c r="B575" i="2"/>
  <c r="C575" i="2" s="1"/>
  <c r="D575" i="2" s="1"/>
  <c r="B574" i="2"/>
  <c r="C574" i="2" s="1"/>
  <c r="D574" i="2" s="1"/>
  <c r="B573" i="2"/>
  <c r="C573" i="2" s="1"/>
  <c r="D573" i="2" s="1"/>
  <c r="B571" i="2"/>
  <c r="C571" i="2" s="1"/>
  <c r="D571" i="2" s="1"/>
  <c r="B570" i="2"/>
  <c r="C570" i="2" s="1"/>
  <c r="D570" i="2" s="1"/>
  <c r="B569" i="2"/>
  <c r="C569" i="2" s="1"/>
  <c r="D569" i="2" s="1"/>
  <c r="B568" i="2"/>
  <c r="C568" i="2" s="1"/>
  <c r="D568" i="2" s="1"/>
  <c r="B567" i="2"/>
  <c r="C567" i="2" s="1"/>
  <c r="D567" i="2" s="1"/>
  <c r="B566" i="2"/>
  <c r="C566" i="2" s="1"/>
  <c r="D566" i="2" s="1"/>
  <c r="B565" i="2"/>
  <c r="C565" i="2" s="1"/>
  <c r="D565" i="2" s="1"/>
  <c r="B564" i="2"/>
  <c r="C564" i="2" s="1"/>
  <c r="D564" i="2" s="1"/>
  <c r="B563" i="2"/>
  <c r="C563" i="2" s="1"/>
  <c r="D563" i="2" s="1"/>
  <c r="B562" i="2"/>
  <c r="C562" i="2" s="1"/>
  <c r="D562" i="2" s="1"/>
  <c r="B561" i="2"/>
  <c r="C561" i="2" s="1"/>
  <c r="D561" i="2" s="1"/>
  <c r="B560" i="2"/>
  <c r="C560" i="2" s="1"/>
  <c r="D560" i="2" s="1"/>
  <c r="B559" i="2"/>
  <c r="C559" i="2" s="1"/>
  <c r="D559" i="2" s="1"/>
  <c r="B558" i="2"/>
  <c r="C558" i="2" s="1"/>
  <c r="D558" i="2" s="1"/>
  <c r="B557" i="2"/>
  <c r="C557" i="2" s="1"/>
  <c r="D557" i="2" s="1"/>
  <c r="B556" i="2"/>
  <c r="C556" i="2" s="1"/>
  <c r="D556" i="2" s="1"/>
  <c r="B554" i="2"/>
  <c r="C554" i="2" s="1"/>
  <c r="D554" i="2" s="1"/>
  <c r="E554" i="2" s="1"/>
  <c r="B553" i="2"/>
  <c r="C553" i="2" s="1"/>
  <c r="D553" i="2" s="1"/>
  <c r="B552" i="2"/>
  <c r="C552" i="2" s="1"/>
  <c r="D552" i="2" s="1"/>
  <c r="B551" i="2"/>
  <c r="C551" i="2" s="1"/>
  <c r="D551" i="2" s="1"/>
  <c r="B550" i="2"/>
  <c r="C550" i="2" s="1"/>
  <c r="D550" i="2" s="1"/>
  <c r="E550" i="2" s="1"/>
  <c r="B549" i="2"/>
  <c r="C549" i="2" s="1"/>
  <c r="D549" i="2" s="1"/>
  <c r="B548" i="2"/>
  <c r="C548" i="2" s="1"/>
  <c r="D548" i="2" s="1"/>
  <c r="B547" i="2"/>
  <c r="C547" i="2" s="1"/>
  <c r="D547" i="2" s="1"/>
  <c r="B546" i="2"/>
  <c r="C546" i="2" s="1"/>
  <c r="D546" i="2" s="1"/>
  <c r="B545" i="2"/>
  <c r="C545" i="2" s="1"/>
  <c r="D545" i="2" s="1"/>
  <c r="B544" i="2"/>
  <c r="C544" i="2" s="1"/>
  <c r="D544" i="2" s="1"/>
  <c r="B543" i="2"/>
  <c r="C543" i="2" s="1"/>
  <c r="D543" i="2" s="1"/>
  <c r="B542" i="2"/>
  <c r="C542" i="2" s="1"/>
  <c r="D542" i="2" s="1"/>
  <c r="B541" i="2"/>
  <c r="C541" i="2" s="1"/>
  <c r="D541" i="2" s="1"/>
  <c r="B540" i="2"/>
  <c r="C540" i="2" s="1"/>
  <c r="D540" i="2" s="1"/>
  <c r="B539" i="2"/>
  <c r="C539" i="2" s="1"/>
  <c r="D539" i="2" s="1"/>
  <c r="B538" i="2"/>
  <c r="C538" i="2" s="1"/>
  <c r="D538" i="2" s="1"/>
  <c r="B537" i="2"/>
  <c r="C537" i="2" s="1"/>
  <c r="D537" i="2" s="1"/>
  <c r="B536" i="2"/>
  <c r="C536" i="2" s="1"/>
  <c r="D536" i="2" s="1"/>
  <c r="B535" i="2"/>
  <c r="C535" i="2" s="1"/>
  <c r="D535" i="2" s="1"/>
  <c r="B534" i="2"/>
  <c r="C534" i="2" s="1"/>
  <c r="D534" i="2" s="1"/>
  <c r="B533" i="2"/>
  <c r="C533" i="2" s="1"/>
  <c r="D533" i="2" s="1"/>
  <c r="B532" i="2"/>
  <c r="C532" i="2" s="1"/>
  <c r="D532" i="2" s="1"/>
  <c r="B531" i="2"/>
  <c r="C531" i="2" s="1"/>
  <c r="D531" i="2" s="1"/>
  <c r="B530" i="2"/>
  <c r="C530" i="2" s="1"/>
  <c r="D530" i="2" s="1"/>
  <c r="E530" i="2" s="1"/>
  <c r="B529" i="2"/>
  <c r="C529" i="2" s="1"/>
  <c r="D529" i="2" s="1"/>
  <c r="B528" i="2"/>
  <c r="C528" i="2" s="1"/>
  <c r="D528" i="2" s="1"/>
  <c r="B527" i="2"/>
  <c r="C527" i="2" s="1"/>
  <c r="D527" i="2" s="1"/>
  <c r="B526" i="2"/>
  <c r="C526" i="2" s="1"/>
  <c r="D526" i="2" s="1"/>
  <c r="B525" i="2"/>
  <c r="C525" i="2" s="1"/>
  <c r="D525" i="2" s="1"/>
  <c r="B524" i="2"/>
  <c r="C524" i="2" s="1"/>
  <c r="D524" i="2" s="1"/>
  <c r="B523" i="2"/>
  <c r="C523" i="2" s="1"/>
  <c r="D523" i="2" s="1"/>
  <c r="B522" i="2"/>
  <c r="C522" i="2" s="1"/>
  <c r="D522" i="2" s="1"/>
  <c r="B520" i="2"/>
  <c r="C520" i="2" s="1"/>
  <c r="D520" i="2" s="1"/>
  <c r="E520" i="2" s="1"/>
  <c r="B519" i="2"/>
  <c r="C519" i="2" s="1"/>
  <c r="D519" i="2" s="1"/>
  <c r="B518" i="2"/>
  <c r="C518" i="2" s="1"/>
  <c r="D518" i="2" s="1"/>
  <c r="E518" i="2" s="1"/>
  <c r="B517" i="2"/>
  <c r="C517" i="2" s="1"/>
  <c r="D517" i="2" s="1"/>
  <c r="B516" i="2"/>
  <c r="C516" i="2" s="1"/>
  <c r="D516" i="2" s="1"/>
  <c r="E516" i="2" s="1"/>
  <c r="B515" i="2"/>
  <c r="C515" i="2" s="1"/>
  <c r="D515" i="2" s="1"/>
  <c r="B514" i="2"/>
  <c r="C514" i="2" s="1"/>
  <c r="D514" i="2" s="1"/>
  <c r="B513" i="2"/>
  <c r="C513" i="2" s="1"/>
  <c r="D513" i="2" s="1"/>
  <c r="B512" i="2"/>
  <c r="C512" i="2" s="1"/>
  <c r="D512" i="2" s="1"/>
  <c r="B511" i="2"/>
  <c r="C511" i="2" s="1"/>
  <c r="D511" i="2" s="1"/>
  <c r="B510" i="2"/>
  <c r="C510" i="2" s="1"/>
  <c r="D510" i="2" s="1"/>
  <c r="B509" i="2"/>
  <c r="C509" i="2" s="1"/>
  <c r="D509" i="2" s="1"/>
  <c r="B508" i="2"/>
  <c r="C508" i="2" s="1"/>
  <c r="D508" i="2" s="1"/>
  <c r="B507" i="2"/>
  <c r="C507" i="2" s="1"/>
  <c r="D507" i="2" s="1"/>
  <c r="B506" i="2"/>
  <c r="C506" i="2" s="1"/>
  <c r="D506" i="2" s="1"/>
  <c r="B504" i="2"/>
  <c r="C504" i="2" s="1"/>
  <c r="D504" i="2" s="1"/>
  <c r="B503" i="2"/>
  <c r="C503" i="2" s="1"/>
  <c r="D503" i="2" s="1"/>
  <c r="B502" i="2"/>
  <c r="C502" i="2" s="1"/>
  <c r="D502" i="2" s="1"/>
  <c r="B501" i="2"/>
  <c r="C501" i="2" s="1"/>
  <c r="D501" i="2" s="1"/>
  <c r="B500" i="2"/>
  <c r="C500" i="2" s="1"/>
  <c r="D500" i="2" s="1"/>
  <c r="B499" i="2"/>
  <c r="C499" i="2" s="1"/>
  <c r="D499" i="2" s="1"/>
  <c r="B498" i="2"/>
  <c r="C498" i="2" s="1"/>
  <c r="D498" i="2" s="1"/>
  <c r="B497" i="2"/>
  <c r="C497" i="2" s="1"/>
  <c r="D497" i="2" s="1"/>
  <c r="B496" i="2"/>
  <c r="C496" i="2" s="1"/>
  <c r="D496" i="2" s="1"/>
  <c r="E496" i="2" s="1"/>
  <c r="B495" i="2"/>
  <c r="C495" i="2" s="1"/>
  <c r="D495" i="2" s="1"/>
  <c r="B494" i="2"/>
  <c r="C494" i="2" s="1"/>
  <c r="D494" i="2" s="1"/>
  <c r="B493" i="2"/>
  <c r="C493" i="2" s="1"/>
  <c r="D493" i="2" s="1"/>
  <c r="E493" i="2" s="1"/>
  <c r="B492" i="2"/>
  <c r="C492" i="2" s="1"/>
  <c r="D492" i="2" s="1"/>
  <c r="B491" i="2"/>
  <c r="C491" i="2" s="1"/>
  <c r="D491" i="2" s="1"/>
  <c r="B490" i="2"/>
  <c r="C490" i="2" s="1"/>
  <c r="D490" i="2" s="1"/>
  <c r="B489" i="2"/>
  <c r="C489" i="2" s="1"/>
  <c r="D489" i="2" s="1"/>
  <c r="B488" i="2"/>
  <c r="C488" i="2" s="1"/>
  <c r="D488" i="2" s="1"/>
  <c r="B487" i="2"/>
  <c r="C487" i="2" s="1"/>
  <c r="D487" i="2" s="1"/>
  <c r="B486" i="2"/>
  <c r="C486" i="2" s="1"/>
  <c r="D486" i="2" s="1"/>
  <c r="B485" i="2"/>
  <c r="C485" i="2" s="1"/>
  <c r="D485" i="2" s="1"/>
  <c r="B484" i="2"/>
  <c r="C484" i="2" s="1"/>
  <c r="D484" i="2" s="1"/>
  <c r="B483" i="2"/>
  <c r="C483" i="2" s="1"/>
  <c r="D483" i="2" s="1"/>
  <c r="B481" i="2"/>
  <c r="C481" i="2" s="1"/>
  <c r="D481" i="2" s="1"/>
  <c r="B480" i="2"/>
  <c r="C480" i="2" s="1"/>
  <c r="D480" i="2" s="1"/>
  <c r="B479" i="2"/>
  <c r="C479" i="2" s="1"/>
  <c r="D479" i="2" s="1"/>
  <c r="B478" i="2"/>
  <c r="C478" i="2" s="1"/>
  <c r="D478" i="2" s="1"/>
  <c r="B477" i="2"/>
  <c r="C477" i="2" s="1"/>
  <c r="D477" i="2" s="1"/>
  <c r="B476" i="2"/>
  <c r="C476" i="2" s="1"/>
  <c r="D476" i="2" s="1"/>
  <c r="B475" i="2"/>
  <c r="C475" i="2" s="1"/>
  <c r="D475" i="2" s="1"/>
  <c r="B474" i="2"/>
  <c r="C474" i="2" s="1"/>
  <c r="D474" i="2" s="1"/>
  <c r="E474" i="2" s="1"/>
  <c r="B473" i="2"/>
  <c r="C473" i="2" s="1"/>
  <c r="D473" i="2" s="1"/>
  <c r="E473" i="2" s="1"/>
  <c r="B472" i="2"/>
  <c r="C472" i="2" s="1"/>
  <c r="D472" i="2" s="1"/>
  <c r="B471" i="2"/>
  <c r="C471" i="2" s="1"/>
  <c r="D471" i="2" s="1"/>
  <c r="B470" i="2"/>
  <c r="C470" i="2" s="1"/>
  <c r="D470" i="2" s="1"/>
  <c r="B469" i="2"/>
  <c r="C469" i="2" s="1"/>
  <c r="D469" i="2" s="1"/>
  <c r="E469" i="2" s="1"/>
  <c r="B468" i="2"/>
  <c r="C468" i="2" s="1"/>
  <c r="D468" i="2" s="1"/>
  <c r="B467" i="2"/>
  <c r="C467" i="2" s="1"/>
  <c r="D467" i="2" s="1"/>
  <c r="B466" i="2"/>
  <c r="C466" i="2" s="1"/>
  <c r="D466" i="2" s="1"/>
  <c r="B464" i="2"/>
  <c r="C464" i="2" s="1"/>
  <c r="D464" i="2" s="1"/>
  <c r="E464" i="2" s="1"/>
  <c r="B463" i="2"/>
  <c r="C463" i="2" s="1"/>
  <c r="D463" i="2" s="1"/>
  <c r="B462" i="2"/>
  <c r="C462" i="2" s="1"/>
  <c r="D462" i="2" s="1"/>
  <c r="B461" i="2"/>
  <c r="C461" i="2" s="1"/>
  <c r="D461" i="2" s="1"/>
  <c r="B460" i="2"/>
  <c r="C460" i="2" s="1"/>
  <c r="D460" i="2" s="1"/>
  <c r="B459" i="2"/>
  <c r="C459" i="2" s="1"/>
  <c r="D459" i="2" s="1"/>
  <c r="B458" i="2"/>
  <c r="C458" i="2" s="1"/>
  <c r="D458" i="2" s="1"/>
  <c r="B457" i="2"/>
  <c r="C457" i="2" s="1"/>
  <c r="D457" i="2" s="1"/>
  <c r="B456" i="2"/>
  <c r="C456" i="2" s="1"/>
  <c r="D456" i="2" s="1"/>
  <c r="B455" i="2"/>
  <c r="C455" i="2" s="1"/>
  <c r="D455" i="2" s="1"/>
  <c r="B454" i="2"/>
  <c r="C454" i="2" s="1"/>
  <c r="D454" i="2" s="1"/>
  <c r="B453" i="2"/>
  <c r="C453" i="2" s="1"/>
  <c r="D453" i="2" s="1"/>
  <c r="B451" i="2"/>
  <c r="C451" i="2" s="1"/>
  <c r="D451" i="2" s="1"/>
  <c r="B449" i="2"/>
  <c r="C449" i="2" s="1"/>
  <c r="D449" i="2" s="1"/>
  <c r="B448" i="2"/>
  <c r="C448" i="2" s="1"/>
  <c r="D448" i="2" s="1"/>
  <c r="B447" i="2"/>
  <c r="C447" i="2" s="1"/>
  <c r="D447" i="2" s="1"/>
  <c r="B446" i="2"/>
  <c r="C446" i="2" s="1"/>
  <c r="D446" i="2" s="1"/>
  <c r="B445" i="2"/>
  <c r="C445" i="2" s="1"/>
  <c r="D445" i="2" s="1"/>
  <c r="B444" i="2"/>
  <c r="C444" i="2" s="1"/>
  <c r="D444" i="2" s="1"/>
  <c r="B443" i="2"/>
  <c r="C443" i="2" s="1"/>
  <c r="D443" i="2" s="1"/>
  <c r="B442" i="2"/>
  <c r="C442" i="2" s="1"/>
  <c r="D442" i="2" s="1"/>
  <c r="B441" i="2"/>
  <c r="C441" i="2" s="1"/>
  <c r="D441" i="2" s="1"/>
  <c r="B440" i="2"/>
  <c r="C440" i="2" s="1"/>
  <c r="D440" i="2" s="1"/>
  <c r="B439" i="2"/>
  <c r="C439" i="2" s="1"/>
  <c r="D439" i="2" s="1"/>
  <c r="B438" i="2"/>
  <c r="C438" i="2" s="1"/>
  <c r="D438" i="2" s="1"/>
  <c r="B436" i="2"/>
  <c r="C436" i="2" s="1"/>
  <c r="D436" i="2" s="1"/>
  <c r="B435" i="2"/>
  <c r="C435" i="2" s="1"/>
  <c r="D435" i="2" s="1"/>
  <c r="B434" i="2"/>
  <c r="C434" i="2" s="1"/>
  <c r="D434" i="2" s="1"/>
  <c r="B433" i="2"/>
  <c r="C433" i="2" s="1"/>
  <c r="D433" i="2" s="1"/>
  <c r="B432" i="2"/>
  <c r="C432" i="2" s="1"/>
  <c r="D432" i="2" s="1"/>
  <c r="B431" i="2"/>
  <c r="C431" i="2" s="1"/>
  <c r="D431" i="2" s="1"/>
  <c r="B430" i="2"/>
  <c r="C430" i="2" s="1"/>
  <c r="D430" i="2" s="1"/>
  <c r="B429" i="2"/>
  <c r="C429" i="2" s="1"/>
  <c r="D429" i="2" s="1"/>
  <c r="B428" i="2"/>
  <c r="C428" i="2" s="1"/>
  <c r="D428" i="2" s="1"/>
  <c r="B427" i="2"/>
  <c r="C427" i="2" s="1"/>
  <c r="D427" i="2" s="1"/>
  <c r="B426" i="2"/>
  <c r="C426" i="2" s="1"/>
  <c r="D426" i="2" s="1"/>
  <c r="B425" i="2"/>
  <c r="C425" i="2" s="1"/>
  <c r="D425" i="2" s="1"/>
  <c r="B424" i="2"/>
  <c r="C424" i="2" s="1"/>
  <c r="D424" i="2" s="1"/>
  <c r="B423" i="2"/>
  <c r="C423" i="2" s="1"/>
  <c r="D423" i="2" s="1"/>
  <c r="B422" i="2"/>
  <c r="C422" i="2" s="1"/>
  <c r="D422" i="2" s="1"/>
  <c r="B420" i="2"/>
  <c r="C420" i="2" s="1"/>
  <c r="D420" i="2" s="1"/>
  <c r="B419" i="2"/>
  <c r="C419" i="2" s="1"/>
  <c r="D419" i="2" s="1"/>
  <c r="B418" i="2"/>
  <c r="C418" i="2" s="1"/>
  <c r="D418" i="2" s="1"/>
  <c r="B417" i="2"/>
  <c r="C417" i="2" s="1"/>
  <c r="D417" i="2" s="1"/>
  <c r="B416" i="2"/>
  <c r="C416" i="2" s="1"/>
  <c r="D416" i="2" s="1"/>
  <c r="B415" i="2"/>
  <c r="C415" i="2" s="1"/>
  <c r="D415" i="2" s="1"/>
  <c r="B414" i="2"/>
  <c r="C414" i="2" s="1"/>
  <c r="D414" i="2" s="1"/>
  <c r="E414" i="2" s="1"/>
  <c r="B413" i="2"/>
  <c r="C413" i="2" s="1"/>
  <c r="D413" i="2" s="1"/>
  <c r="B412" i="2"/>
  <c r="C412" i="2" s="1"/>
  <c r="D412" i="2" s="1"/>
  <c r="B411" i="2"/>
  <c r="C411" i="2" s="1"/>
  <c r="D411" i="2" s="1"/>
  <c r="B410" i="2"/>
  <c r="C410" i="2" s="1"/>
  <c r="D410" i="2" s="1"/>
  <c r="B409" i="2"/>
  <c r="C409" i="2" s="1"/>
  <c r="D409" i="2" s="1"/>
  <c r="B408" i="2"/>
  <c r="C408" i="2" s="1"/>
  <c r="D408" i="2" s="1"/>
  <c r="B407" i="2"/>
  <c r="C407" i="2" s="1"/>
  <c r="D407" i="2" s="1"/>
  <c r="B406" i="2"/>
  <c r="C406" i="2" s="1"/>
  <c r="D406" i="2" s="1"/>
  <c r="B405" i="2"/>
  <c r="C405" i="2" s="1"/>
  <c r="D405" i="2" s="1"/>
  <c r="B404" i="2"/>
  <c r="C404" i="2" s="1"/>
  <c r="D404" i="2" s="1"/>
  <c r="B403" i="2"/>
  <c r="C403" i="2" s="1"/>
  <c r="D403" i="2" s="1"/>
  <c r="B402" i="2"/>
  <c r="C402" i="2" s="1"/>
  <c r="D402" i="2" s="1"/>
  <c r="B401" i="2"/>
  <c r="C401" i="2" s="1"/>
  <c r="D401" i="2" s="1"/>
  <c r="B400" i="2"/>
  <c r="C400" i="2" s="1"/>
  <c r="D400" i="2" s="1"/>
  <c r="B399" i="2"/>
  <c r="C399" i="2" s="1"/>
  <c r="D399" i="2" s="1"/>
  <c r="B398" i="2"/>
  <c r="C398" i="2" s="1"/>
  <c r="D398" i="2" s="1"/>
  <c r="B397" i="2"/>
  <c r="C397" i="2" s="1"/>
  <c r="D397" i="2" s="1"/>
  <c r="B396" i="2"/>
  <c r="C396" i="2" s="1"/>
  <c r="D396" i="2" s="1"/>
  <c r="B395" i="2"/>
  <c r="C395" i="2" s="1"/>
  <c r="D395" i="2" s="1"/>
  <c r="B394" i="2"/>
  <c r="C394" i="2" s="1"/>
  <c r="D394" i="2" s="1"/>
  <c r="B393" i="2"/>
  <c r="C393" i="2" s="1"/>
  <c r="D393" i="2" s="1"/>
  <c r="B392" i="2"/>
  <c r="C392" i="2" s="1"/>
  <c r="D392" i="2" s="1"/>
  <c r="B391" i="2"/>
  <c r="C391" i="2" s="1"/>
  <c r="D391" i="2" s="1"/>
  <c r="B390" i="2"/>
  <c r="C390" i="2" s="1"/>
  <c r="D390" i="2" s="1"/>
  <c r="B389" i="2"/>
  <c r="C389" i="2" s="1"/>
  <c r="D389" i="2" s="1"/>
  <c r="B388" i="2"/>
  <c r="C388" i="2" s="1"/>
  <c r="D388" i="2" s="1"/>
  <c r="B387" i="2"/>
  <c r="C387" i="2" s="1"/>
  <c r="D387" i="2" s="1"/>
  <c r="B386" i="2"/>
  <c r="C386" i="2" s="1"/>
  <c r="D386" i="2" s="1"/>
  <c r="B385" i="2"/>
  <c r="C385" i="2" s="1"/>
  <c r="D385" i="2" s="1"/>
  <c r="B383" i="2"/>
  <c r="C383" i="2" s="1"/>
  <c r="D383" i="2" s="1"/>
  <c r="B382" i="2"/>
  <c r="C382" i="2" s="1"/>
  <c r="D382" i="2" s="1"/>
  <c r="B381" i="2"/>
  <c r="C381" i="2" s="1"/>
  <c r="D381" i="2" s="1"/>
  <c r="B380" i="2"/>
  <c r="C380" i="2" s="1"/>
  <c r="D380" i="2" s="1"/>
  <c r="B379" i="2"/>
  <c r="C379" i="2" s="1"/>
  <c r="D379" i="2" s="1"/>
  <c r="B378" i="2"/>
  <c r="C378" i="2" s="1"/>
  <c r="D378" i="2" s="1"/>
  <c r="B377" i="2"/>
  <c r="C377" i="2" s="1"/>
  <c r="D377" i="2" s="1"/>
  <c r="B376" i="2"/>
  <c r="C376" i="2" s="1"/>
  <c r="D376" i="2" s="1"/>
  <c r="B375" i="2"/>
  <c r="C375" i="2" s="1"/>
  <c r="D375" i="2" s="1"/>
  <c r="B374" i="2"/>
  <c r="C374" i="2" s="1"/>
  <c r="D374" i="2" s="1"/>
  <c r="B373" i="2"/>
  <c r="C373" i="2" s="1"/>
  <c r="D373" i="2" s="1"/>
  <c r="B372" i="2"/>
  <c r="C372" i="2" s="1"/>
  <c r="D372" i="2" s="1"/>
  <c r="B371" i="2"/>
  <c r="C371" i="2" s="1"/>
  <c r="D371" i="2" s="1"/>
  <c r="B370" i="2"/>
  <c r="C370" i="2" s="1"/>
  <c r="D370" i="2" s="1"/>
  <c r="B368" i="2"/>
  <c r="C368" i="2" s="1"/>
  <c r="D368" i="2" s="1"/>
  <c r="E368" i="2" s="1"/>
  <c r="B367" i="2"/>
  <c r="C367" i="2" s="1"/>
  <c r="D367" i="2" s="1"/>
  <c r="B366" i="2"/>
  <c r="C366" i="2" s="1"/>
  <c r="D366" i="2" s="1"/>
  <c r="B365" i="2"/>
  <c r="C365" i="2" s="1"/>
  <c r="D365" i="2" s="1"/>
  <c r="E365" i="2" s="1"/>
  <c r="B364" i="2"/>
  <c r="C364" i="2" s="1"/>
  <c r="D364" i="2" s="1"/>
  <c r="B363" i="2"/>
  <c r="C363" i="2" s="1"/>
  <c r="D363" i="2" s="1"/>
  <c r="B362" i="2"/>
  <c r="C362" i="2" s="1"/>
  <c r="D362" i="2" s="1"/>
  <c r="B361" i="2"/>
  <c r="C361" i="2" s="1"/>
  <c r="D361" i="2" s="1"/>
  <c r="B360" i="2"/>
  <c r="C360" i="2" s="1"/>
  <c r="D360" i="2" s="1"/>
  <c r="B359" i="2"/>
  <c r="C359" i="2" s="1"/>
  <c r="D359" i="2" s="1"/>
  <c r="B358" i="2"/>
  <c r="C358" i="2" s="1"/>
  <c r="D358" i="2" s="1"/>
  <c r="B357" i="2"/>
  <c r="C357" i="2" s="1"/>
  <c r="D357" i="2" s="1"/>
  <c r="B356" i="2"/>
  <c r="C356" i="2" s="1"/>
  <c r="D356" i="2" s="1"/>
  <c r="B355" i="2"/>
  <c r="C355" i="2" s="1"/>
  <c r="D355" i="2" s="1"/>
  <c r="B354" i="2"/>
  <c r="C354" i="2" s="1"/>
  <c r="D354" i="2" s="1"/>
  <c r="B353" i="2"/>
  <c r="C353" i="2" s="1"/>
  <c r="D353" i="2" s="1"/>
  <c r="B352" i="2"/>
  <c r="C352" i="2" s="1"/>
  <c r="D352" i="2" s="1"/>
  <c r="B351" i="2"/>
  <c r="C351" i="2" s="1"/>
  <c r="D351" i="2" s="1"/>
  <c r="B350" i="2"/>
  <c r="C350" i="2" s="1"/>
  <c r="D350" i="2" s="1"/>
  <c r="B349" i="2"/>
  <c r="C349" i="2" s="1"/>
  <c r="D349" i="2" s="1"/>
  <c r="B348" i="2"/>
  <c r="C348" i="2" s="1"/>
  <c r="D348" i="2" s="1"/>
  <c r="B346" i="2"/>
  <c r="C346" i="2" s="1"/>
  <c r="D346" i="2" s="1"/>
  <c r="B345" i="2"/>
  <c r="C345" i="2" s="1"/>
  <c r="D345" i="2" s="1"/>
  <c r="B344" i="2"/>
  <c r="C344" i="2" s="1"/>
  <c r="D344" i="2" s="1"/>
  <c r="B343" i="2"/>
  <c r="C343" i="2" s="1"/>
  <c r="D343" i="2" s="1"/>
  <c r="B342" i="2"/>
  <c r="C342" i="2" s="1"/>
  <c r="D342" i="2" s="1"/>
  <c r="B341" i="2"/>
  <c r="C341" i="2" s="1"/>
  <c r="D341" i="2" s="1"/>
  <c r="B340" i="2"/>
  <c r="C340" i="2" s="1"/>
  <c r="D340" i="2" s="1"/>
  <c r="B339" i="2"/>
  <c r="C339" i="2" s="1"/>
  <c r="D339" i="2" s="1"/>
  <c r="B338" i="2"/>
  <c r="C338" i="2" s="1"/>
  <c r="D338" i="2" s="1"/>
  <c r="B337" i="2"/>
  <c r="C337" i="2" s="1"/>
  <c r="D337" i="2" s="1"/>
  <c r="E337" i="2" s="1"/>
  <c r="B336" i="2"/>
  <c r="C336" i="2" s="1"/>
  <c r="D336" i="2" s="1"/>
  <c r="E336" i="2" s="1"/>
  <c r="B335" i="2"/>
  <c r="C335" i="2" s="1"/>
  <c r="D335" i="2" s="1"/>
  <c r="B334" i="2"/>
  <c r="C334" i="2" s="1"/>
  <c r="D334" i="2" s="1"/>
  <c r="B333" i="2"/>
  <c r="C333" i="2" s="1"/>
  <c r="D333" i="2" s="1"/>
  <c r="B332" i="2"/>
  <c r="C332" i="2" s="1"/>
  <c r="D332" i="2" s="1"/>
  <c r="B331" i="2"/>
  <c r="C331" i="2" s="1"/>
  <c r="D331" i="2" s="1"/>
  <c r="B330" i="2"/>
  <c r="C330" i="2" s="1"/>
  <c r="D330" i="2" s="1"/>
  <c r="B329" i="2"/>
  <c r="C329" i="2" s="1"/>
  <c r="D329" i="2" s="1"/>
  <c r="B327" i="2"/>
  <c r="C327" i="2" s="1"/>
  <c r="D327" i="2" s="1"/>
  <c r="B326" i="2"/>
  <c r="C326" i="2" s="1"/>
  <c r="D326" i="2" s="1"/>
  <c r="B325" i="2"/>
  <c r="C325" i="2" s="1"/>
  <c r="D325" i="2" s="1"/>
  <c r="B323" i="2"/>
  <c r="C323" i="2" s="1"/>
  <c r="D323" i="2" s="1"/>
  <c r="B322" i="2"/>
  <c r="C322" i="2" s="1"/>
  <c r="D322" i="2" s="1"/>
  <c r="B321" i="2"/>
  <c r="C321" i="2" s="1"/>
  <c r="D321" i="2" s="1"/>
  <c r="B320" i="2"/>
  <c r="C320" i="2" s="1"/>
  <c r="D320" i="2" s="1"/>
  <c r="B319" i="2"/>
  <c r="C319" i="2" s="1"/>
  <c r="D319" i="2" s="1"/>
  <c r="B318" i="2"/>
  <c r="C318" i="2" s="1"/>
  <c r="D318" i="2" s="1"/>
  <c r="B317" i="2"/>
  <c r="C317" i="2" s="1"/>
  <c r="D317" i="2" s="1"/>
  <c r="B316" i="2"/>
  <c r="C316" i="2" s="1"/>
  <c r="D316" i="2" s="1"/>
  <c r="B315" i="2"/>
  <c r="C315" i="2" s="1"/>
  <c r="D315" i="2" s="1"/>
  <c r="B314" i="2"/>
  <c r="C314" i="2" s="1"/>
  <c r="D314" i="2" s="1"/>
  <c r="B313" i="2"/>
  <c r="C313" i="2" s="1"/>
  <c r="D313" i="2" s="1"/>
  <c r="E313" i="2" s="1"/>
  <c r="B312" i="2"/>
  <c r="C312" i="2" s="1"/>
  <c r="D312" i="2" s="1"/>
  <c r="B311" i="2"/>
  <c r="C311" i="2" s="1"/>
  <c r="D311" i="2" s="1"/>
  <c r="B310" i="2"/>
  <c r="C310" i="2" s="1"/>
  <c r="D310" i="2" s="1"/>
  <c r="B309" i="2"/>
  <c r="C309" i="2" s="1"/>
  <c r="D309" i="2" s="1"/>
  <c r="B308" i="2"/>
  <c r="C308" i="2" s="1"/>
  <c r="D308" i="2" s="1"/>
  <c r="B307" i="2"/>
  <c r="C307" i="2" s="1"/>
  <c r="D307" i="2" s="1"/>
  <c r="B306" i="2"/>
  <c r="C306" i="2" s="1"/>
  <c r="D306" i="2" s="1"/>
  <c r="B304" i="2"/>
  <c r="C304" i="2" s="1"/>
  <c r="D304" i="2" s="1"/>
  <c r="B303" i="2"/>
  <c r="C303" i="2" s="1"/>
  <c r="D303" i="2" s="1"/>
  <c r="B302" i="2"/>
  <c r="C302" i="2" s="1"/>
  <c r="D302" i="2" s="1"/>
  <c r="B301" i="2"/>
  <c r="C301" i="2" s="1"/>
  <c r="D301" i="2" s="1"/>
  <c r="E301" i="2" s="1"/>
  <c r="B300" i="2"/>
  <c r="C300" i="2" s="1"/>
  <c r="D300" i="2" s="1"/>
  <c r="B299" i="2"/>
  <c r="C299" i="2" s="1"/>
  <c r="D299" i="2" s="1"/>
  <c r="B298" i="2"/>
  <c r="C298" i="2" s="1"/>
  <c r="D298" i="2" s="1"/>
  <c r="B297" i="2"/>
  <c r="C297" i="2" s="1"/>
  <c r="D297" i="2" s="1"/>
  <c r="B296" i="2"/>
  <c r="C296" i="2" s="1"/>
  <c r="D296" i="2" s="1"/>
  <c r="B295" i="2"/>
  <c r="C295" i="2" s="1"/>
  <c r="D295" i="2" s="1"/>
  <c r="E295" i="2" s="1"/>
  <c r="B294" i="2"/>
  <c r="C294" i="2" s="1"/>
  <c r="D294" i="2" s="1"/>
  <c r="B293" i="2"/>
  <c r="C293" i="2" s="1"/>
  <c r="D293" i="2" s="1"/>
  <c r="E293" i="2" s="1"/>
  <c r="B292" i="2"/>
  <c r="C292" i="2" s="1"/>
  <c r="D292" i="2" s="1"/>
  <c r="B291" i="2"/>
  <c r="C291" i="2" s="1"/>
  <c r="D291" i="2" s="1"/>
  <c r="B290" i="2"/>
  <c r="C290" i="2" s="1"/>
  <c r="D290" i="2" s="1"/>
  <c r="B289" i="2"/>
  <c r="C289" i="2" s="1"/>
  <c r="D289" i="2" s="1"/>
  <c r="B288" i="2"/>
  <c r="C288" i="2" s="1"/>
  <c r="D288" i="2" s="1"/>
  <c r="B287" i="2"/>
  <c r="C287" i="2" s="1"/>
  <c r="D287" i="2" s="1"/>
  <c r="B286" i="2"/>
  <c r="C286" i="2" s="1"/>
  <c r="D286" i="2" s="1"/>
  <c r="B285" i="2"/>
  <c r="C285" i="2" s="1"/>
  <c r="D285" i="2" s="1"/>
  <c r="B284" i="2"/>
  <c r="C284" i="2" s="1"/>
  <c r="D284" i="2" s="1"/>
  <c r="B283" i="2"/>
  <c r="C283" i="2" s="1"/>
  <c r="D283" i="2" s="1"/>
  <c r="E283" i="2" s="1"/>
  <c r="B282" i="2"/>
  <c r="C282" i="2" s="1"/>
  <c r="D282" i="2" s="1"/>
  <c r="B281" i="2"/>
  <c r="C281" i="2" s="1"/>
  <c r="D281" i="2" s="1"/>
  <c r="B280" i="2"/>
  <c r="C280" i="2" s="1"/>
  <c r="D280" i="2" s="1"/>
  <c r="B279" i="2"/>
  <c r="C279" i="2" s="1"/>
  <c r="D279" i="2" s="1"/>
  <c r="B278" i="2"/>
  <c r="C278" i="2" s="1"/>
  <c r="D278" i="2" s="1"/>
  <c r="B277" i="2"/>
  <c r="C277" i="2" s="1"/>
  <c r="D277" i="2" s="1"/>
  <c r="B276" i="2"/>
  <c r="C276" i="2" s="1"/>
  <c r="D276" i="2" s="1"/>
  <c r="B275" i="2"/>
  <c r="C275" i="2" s="1"/>
  <c r="D275" i="2" s="1"/>
  <c r="B274" i="2"/>
  <c r="C274" i="2" s="1"/>
  <c r="D274" i="2" s="1"/>
  <c r="B273" i="2"/>
  <c r="C273" i="2" s="1"/>
  <c r="D273" i="2" s="1"/>
  <c r="B272" i="2"/>
  <c r="C272" i="2" s="1"/>
  <c r="D272" i="2" s="1"/>
  <c r="B271" i="2"/>
  <c r="C271" i="2" s="1"/>
  <c r="D271" i="2" s="1"/>
  <c r="E271" i="2" s="1"/>
  <c r="B270" i="2"/>
  <c r="C270" i="2" s="1"/>
  <c r="D270" i="2" s="1"/>
  <c r="B269" i="2"/>
  <c r="C269" i="2" s="1"/>
  <c r="D269" i="2" s="1"/>
  <c r="B268" i="2"/>
  <c r="C268" i="2" s="1"/>
  <c r="D268" i="2" s="1"/>
  <c r="B267" i="2"/>
  <c r="C267" i="2" s="1"/>
  <c r="D267" i="2" s="1"/>
  <c r="B266" i="2"/>
  <c r="C266" i="2" s="1"/>
  <c r="D266" i="2" s="1"/>
  <c r="B264" i="2"/>
  <c r="C264" i="2" s="1"/>
  <c r="D264" i="2" s="1"/>
  <c r="E264" i="2" s="1"/>
  <c r="B263" i="2"/>
  <c r="C263" i="2" s="1"/>
  <c r="D263" i="2" s="1"/>
  <c r="B262" i="2"/>
  <c r="C262" i="2" s="1"/>
  <c r="D262" i="2" s="1"/>
  <c r="B261" i="2"/>
  <c r="C261" i="2" s="1"/>
  <c r="D261" i="2" s="1"/>
  <c r="B258" i="2"/>
  <c r="C258" i="2" s="1"/>
  <c r="D258" i="2" s="1"/>
  <c r="B257" i="2"/>
  <c r="C257" i="2" s="1"/>
  <c r="D257" i="2" s="1"/>
  <c r="B256" i="2"/>
  <c r="C256" i="2" s="1"/>
  <c r="D256" i="2" s="1"/>
  <c r="B255" i="2"/>
  <c r="C255" i="2" s="1"/>
  <c r="D255" i="2" s="1"/>
  <c r="B254" i="2"/>
  <c r="C254" i="2" s="1"/>
  <c r="D254" i="2" s="1"/>
  <c r="B253" i="2"/>
  <c r="C253" i="2" s="1"/>
  <c r="D253" i="2" s="1"/>
  <c r="E253" i="2" s="1"/>
  <c r="B250" i="2"/>
  <c r="C250" i="2" s="1"/>
  <c r="D250" i="2" s="1"/>
  <c r="E250" i="2" s="1"/>
  <c r="B249" i="2"/>
  <c r="C249" i="2" s="1"/>
  <c r="D249" i="2" s="1"/>
  <c r="B248" i="2"/>
  <c r="C248" i="2" s="1"/>
  <c r="D248" i="2" s="1"/>
  <c r="B247" i="2"/>
  <c r="C247" i="2" s="1"/>
  <c r="D247" i="2" s="1"/>
  <c r="E247" i="2" s="1"/>
  <c r="B246" i="2"/>
  <c r="C246" i="2" s="1"/>
  <c r="D246" i="2" s="1"/>
  <c r="B244" i="2"/>
  <c r="C244" i="2" s="1"/>
  <c r="D244" i="2" s="1"/>
  <c r="B243" i="2"/>
  <c r="C243" i="2" s="1"/>
  <c r="D243" i="2" s="1"/>
  <c r="B242" i="2"/>
  <c r="C242" i="2" s="1"/>
  <c r="D242" i="2" s="1"/>
  <c r="B241" i="2"/>
  <c r="C241" i="2" s="1"/>
  <c r="D241" i="2" s="1"/>
  <c r="B239" i="2"/>
  <c r="C239" i="2" s="1"/>
  <c r="D239" i="2" s="1"/>
  <c r="B238" i="2"/>
  <c r="C238" i="2" s="1"/>
  <c r="D238" i="2" s="1"/>
  <c r="B237" i="2"/>
  <c r="C237" i="2" s="1"/>
  <c r="D237" i="2" s="1"/>
  <c r="B234" i="2"/>
  <c r="C234" i="2" s="1"/>
  <c r="D234" i="2" s="1"/>
  <c r="B233" i="2"/>
  <c r="C233" i="2" s="1"/>
  <c r="D233" i="2" s="1"/>
  <c r="B232" i="2"/>
  <c r="C232" i="2" s="1"/>
  <c r="D232" i="2" s="1"/>
  <c r="B231" i="2"/>
  <c r="C231" i="2" s="1"/>
  <c r="D231" i="2" s="1"/>
  <c r="B230" i="2"/>
  <c r="C230" i="2" s="1"/>
  <c r="D230" i="2" s="1"/>
  <c r="B228" i="2"/>
  <c r="C228" i="2" s="1"/>
  <c r="D228" i="2" s="1"/>
  <c r="B227" i="2"/>
  <c r="C227" i="2" s="1"/>
  <c r="D227" i="2" s="1"/>
  <c r="B226" i="2"/>
  <c r="C226" i="2" s="1"/>
  <c r="D226" i="2" s="1"/>
  <c r="B225" i="2"/>
  <c r="C225" i="2" s="1"/>
  <c r="D225" i="2" s="1"/>
  <c r="B224" i="2"/>
  <c r="C224" i="2" s="1"/>
  <c r="D224" i="2" s="1"/>
  <c r="B223" i="2"/>
  <c r="C223" i="2" s="1"/>
  <c r="D223" i="2" s="1"/>
  <c r="B222" i="2"/>
  <c r="C222" i="2" s="1"/>
  <c r="D222" i="2" s="1"/>
  <c r="B221" i="2"/>
  <c r="C221" i="2" s="1"/>
  <c r="D221" i="2" s="1"/>
  <c r="E221" i="2" s="1"/>
  <c r="B220" i="2"/>
  <c r="C220" i="2" s="1"/>
  <c r="D220" i="2" s="1"/>
  <c r="B219" i="2"/>
  <c r="C219" i="2" s="1"/>
  <c r="D219" i="2" s="1"/>
  <c r="B218" i="2"/>
  <c r="C218" i="2" s="1"/>
  <c r="D218" i="2" s="1"/>
  <c r="B215" i="2"/>
  <c r="C215" i="2" s="1"/>
  <c r="D215" i="2" s="1"/>
  <c r="B214" i="2"/>
  <c r="C214" i="2" s="1"/>
  <c r="D214" i="2" s="1"/>
  <c r="B213" i="2"/>
  <c r="C213" i="2" s="1"/>
  <c r="D213" i="2" s="1"/>
  <c r="B212" i="2"/>
  <c r="C212" i="2" s="1"/>
  <c r="D212" i="2" s="1"/>
  <c r="B210" i="2"/>
  <c r="C210" i="2" s="1"/>
  <c r="D210" i="2" s="1"/>
  <c r="B209" i="2"/>
  <c r="C209" i="2" s="1"/>
  <c r="D209" i="2" s="1"/>
  <c r="B208" i="2"/>
  <c r="C208" i="2" s="1"/>
  <c r="D208" i="2" s="1"/>
  <c r="B207" i="2"/>
  <c r="C207" i="2" s="1"/>
  <c r="D207" i="2" s="1"/>
  <c r="B206" i="2"/>
  <c r="C206" i="2" s="1"/>
  <c r="D206" i="2" s="1"/>
  <c r="E206" i="2" s="1"/>
  <c r="B205" i="2"/>
  <c r="C205" i="2" s="1"/>
  <c r="D205" i="2" s="1"/>
  <c r="B202" i="2"/>
  <c r="C202" i="2" s="1"/>
  <c r="D202" i="2" s="1"/>
  <c r="B201" i="2"/>
  <c r="C201" i="2" s="1"/>
  <c r="D201" i="2" s="1"/>
  <c r="B200" i="2"/>
  <c r="C200" i="2" s="1"/>
  <c r="D200" i="2" s="1"/>
  <c r="B199" i="2"/>
  <c r="C199" i="2" s="1"/>
  <c r="D199" i="2" s="1"/>
  <c r="B198" i="2"/>
  <c r="C198" i="2" s="1"/>
  <c r="D198" i="2" s="1"/>
  <c r="B196" i="2"/>
  <c r="C196" i="2" s="1"/>
  <c r="D196" i="2" s="1"/>
  <c r="B195" i="2"/>
  <c r="C195" i="2" s="1"/>
  <c r="D195" i="2" s="1"/>
  <c r="B194" i="2"/>
  <c r="C194" i="2" s="1"/>
  <c r="D194" i="2" s="1"/>
  <c r="B193" i="2"/>
  <c r="C193" i="2" s="1"/>
  <c r="D193" i="2" s="1"/>
  <c r="B192" i="2"/>
  <c r="C192" i="2" s="1"/>
  <c r="D192" i="2" s="1"/>
  <c r="B191" i="2"/>
  <c r="C191" i="2" s="1"/>
  <c r="D191" i="2" s="1"/>
  <c r="B190" i="2"/>
  <c r="C190" i="2" s="1"/>
  <c r="D190" i="2" s="1"/>
  <c r="B189" i="2"/>
  <c r="C189" i="2" s="1"/>
  <c r="D189" i="2" s="1"/>
  <c r="E189" i="2" s="1"/>
  <c r="B188" i="2"/>
  <c r="C188" i="2" s="1"/>
  <c r="D188" i="2" s="1"/>
  <c r="B187" i="2"/>
  <c r="C187" i="2" s="1"/>
  <c r="D187" i="2" s="1"/>
  <c r="B184" i="2"/>
  <c r="C184" i="2" s="1"/>
  <c r="D184" i="2" s="1"/>
  <c r="B183" i="2"/>
  <c r="C183" i="2" s="1"/>
  <c r="D183" i="2" s="1"/>
  <c r="E183" i="2" s="1"/>
  <c r="B182" i="2"/>
  <c r="C182" i="2" s="1"/>
  <c r="D182" i="2" s="1"/>
  <c r="B179" i="2"/>
  <c r="C179" i="2" s="1"/>
  <c r="D179" i="2" s="1"/>
  <c r="E179" i="2" s="1"/>
  <c r="B178" i="2"/>
  <c r="C178" i="2" s="1"/>
  <c r="D178" i="2" s="1"/>
  <c r="B177" i="2"/>
  <c r="C177" i="2" s="1"/>
  <c r="D177" i="2" s="1"/>
  <c r="E177" i="2" s="1"/>
  <c r="B176" i="2"/>
  <c r="C176" i="2" s="1"/>
  <c r="D176" i="2" s="1"/>
  <c r="B175" i="2"/>
  <c r="C175" i="2" s="1"/>
  <c r="D175" i="2" s="1"/>
  <c r="B174" i="2"/>
  <c r="C174" i="2" s="1"/>
  <c r="D174" i="2" s="1"/>
  <c r="B173" i="2"/>
  <c r="C173" i="2" s="1"/>
  <c r="D173" i="2" s="1"/>
  <c r="B170" i="2"/>
  <c r="C170" i="2" s="1"/>
  <c r="D170" i="2" s="1"/>
  <c r="B169" i="2"/>
  <c r="C169" i="2" s="1"/>
  <c r="D169" i="2" s="1"/>
  <c r="B168" i="2"/>
  <c r="C168" i="2" s="1"/>
  <c r="D168" i="2" s="1"/>
  <c r="B167" i="2"/>
  <c r="C167" i="2" s="1"/>
  <c r="D167" i="2" s="1"/>
  <c r="B166" i="2"/>
  <c r="C166" i="2" s="1"/>
  <c r="D166" i="2" s="1"/>
  <c r="B165" i="2"/>
  <c r="C165" i="2" s="1"/>
  <c r="D165" i="2" s="1"/>
  <c r="E165" i="2" s="1"/>
  <c r="B164" i="2"/>
  <c r="C164" i="2" s="1"/>
  <c r="D164" i="2" s="1"/>
  <c r="B163" i="2"/>
  <c r="C163" i="2" s="1"/>
  <c r="D163" i="2" s="1"/>
  <c r="B162" i="2"/>
  <c r="C162" i="2" s="1"/>
  <c r="D162" i="2" s="1"/>
  <c r="B159" i="2"/>
  <c r="C159" i="2" s="1"/>
  <c r="D159" i="2" s="1"/>
  <c r="B158" i="2"/>
  <c r="C158" i="2" s="1"/>
  <c r="D158" i="2" s="1"/>
  <c r="B157" i="2"/>
  <c r="C157" i="2" s="1"/>
  <c r="D157" i="2" s="1"/>
  <c r="B156" i="2"/>
  <c r="C156" i="2" s="1"/>
  <c r="D156" i="2" s="1"/>
  <c r="B154" i="2"/>
  <c r="C154" i="2" s="1"/>
  <c r="D154" i="2" s="1"/>
  <c r="B153" i="2"/>
  <c r="C153" i="2" s="1"/>
  <c r="D153" i="2" s="1"/>
  <c r="B152" i="2"/>
  <c r="C152" i="2" s="1"/>
  <c r="D152" i="2" s="1"/>
  <c r="B151" i="2"/>
  <c r="C151" i="2" s="1"/>
  <c r="D151" i="2" s="1"/>
  <c r="B150" i="2"/>
  <c r="C150" i="2" s="1"/>
  <c r="D150" i="2" s="1"/>
  <c r="E150" i="2" s="1"/>
  <c r="B149" i="2"/>
  <c r="C149" i="2" s="1"/>
  <c r="D149" i="2" s="1"/>
  <c r="B148" i="2"/>
  <c r="C148" i="2" s="1"/>
  <c r="D148" i="2" s="1"/>
  <c r="B146" i="2"/>
  <c r="C146" i="2" s="1"/>
  <c r="D146" i="2" s="1"/>
  <c r="B145" i="2"/>
  <c r="C145" i="2" s="1"/>
  <c r="D145" i="2" s="1"/>
  <c r="B144" i="2"/>
  <c r="C144" i="2" s="1"/>
  <c r="D144" i="2" s="1"/>
  <c r="B143" i="2"/>
  <c r="C143" i="2" s="1"/>
  <c r="D143" i="2" s="1"/>
  <c r="B142" i="2"/>
  <c r="C142" i="2" s="1"/>
  <c r="D142" i="2" s="1"/>
  <c r="E142" i="2" s="1"/>
  <c r="B141" i="2"/>
  <c r="C141" i="2" s="1"/>
  <c r="D141" i="2" s="1"/>
  <c r="B140" i="2"/>
  <c r="C140" i="2" s="1"/>
  <c r="D140" i="2" s="1"/>
  <c r="B139" i="2"/>
  <c r="C139" i="2" s="1"/>
  <c r="D139" i="2" s="1"/>
  <c r="B138" i="2"/>
  <c r="C138" i="2" s="1"/>
  <c r="D138" i="2" s="1"/>
  <c r="B137" i="2"/>
  <c r="C137" i="2" s="1"/>
  <c r="D137" i="2" s="1"/>
  <c r="B135" i="2"/>
  <c r="C135" i="2" s="1"/>
  <c r="D135" i="2" s="1"/>
  <c r="B134" i="2"/>
  <c r="C134" i="2" s="1"/>
  <c r="D134" i="2" s="1"/>
  <c r="B133" i="2"/>
  <c r="C133" i="2" s="1"/>
  <c r="D133" i="2" s="1"/>
  <c r="B132" i="2"/>
  <c r="C132" i="2" s="1"/>
  <c r="D132" i="2" s="1"/>
  <c r="B130" i="2"/>
  <c r="C130" i="2" s="1"/>
  <c r="D130" i="2" s="1"/>
  <c r="E130" i="2" s="1"/>
  <c r="B129" i="2"/>
  <c r="C129" i="2" s="1"/>
  <c r="D129" i="2" s="1"/>
  <c r="B128" i="2"/>
  <c r="C128" i="2" s="1"/>
  <c r="D128" i="2" s="1"/>
  <c r="B127" i="2"/>
  <c r="C127" i="2" s="1"/>
  <c r="D127" i="2" s="1"/>
  <c r="B126" i="2"/>
  <c r="C126" i="2" s="1"/>
  <c r="D126" i="2" s="1"/>
  <c r="B125" i="2"/>
  <c r="C125" i="2" s="1"/>
  <c r="D125" i="2" s="1"/>
  <c r="B124" i="2"/>
  <c r="C124" i="2" s="1"/>
  <c r="D124" i="2" s="1"/>
  <c r="B123" i="2"/>
  <c r="C123" i="2" s="1"/>
  <c r="D123" i="2" s="1"/>
  <c r="E123" i="2" s="1"/>
  <c r="B122" i="2"/>
  <c r="C122" i="2" s="1"/>
  <c r="D122" i="2" s="1"/>
  <c r="B121" i="2"/>
  <c r="C121" i="2" s="1"/>
  <c r="D121" i="2" s="1"/>
  <c r="B119" i="2"/>
  <c r="C119" i="2" s="1"/>
  <c r="D119" i="2" s="1"/>
  <c r="B118" i="2"/>
  <c r="C118" i="2" s="1"/>
  <c r="D118" i="2" s="1"/>
  <c r="B115" i="2"/>
  <c r="C115" i="2" s="1"/>
  <c r="D115" i="2" s="1"/>
  <c r="B114" i="2"/>
  <c r="C114" i="2" s="1"/>
  <c r="D114" i="2" s="1"/>
  <c r="B113" i="2"/>
  <c r="C113" i="2" s="1"/>
  <c r="D113" i="2" s="1"/>
  <c r="E113" i="2" s="1"/>
  <c r="B111" i="2"/>
  <c r="C111" i="2" s="1"/>
  <c r="D111" i="2" s="1"/>
  <c r="B110" i="2"/>
  <c r="C110" i="2" s="1"/>
  <c r="D110" i="2" s="1"/>
  <c r="B109" i="2"/>
  <c r="C109" i="2" s="1"/>
  <c r="D109" i="2" s="1"/>
  <c r="B108" i="2"/>
  <c r="C108" i="2" s="1"/>
  <c r="D108" i="2" s="1"/>
  <c r="B106" i="2"/>
  <c r="C106" i="2" s="1"/>
  <c r="D106" i="2" s="1"/>
  <c r="B105" i="2"/>
  <c r="C105" i="2" s="1"/>
  <c r="D105" i="2" s="1"/>
  <c r="B104" i="2"/>
  <c r="C104" i="2" s="1"/>
  <c r="D104" i="2" s="1"/>
  <c r="B103" i="2"/>
  <c r="C103" i="2" s="1"/>
  <c r="D103" i="2" s="1"/>
  <c r="B102" i="2"/>
  <c r="C102" i="2" s="1"/>
  <c r="D102" i="2" s="1"/>
  <c r="B100" i="2"/>
  <c r="C100" i="2" s="1"/>
  <c r="D100" i="2" s="1"/>
  <c r="B99" i="2"/>
  <c r="C99" i="2" s="1"/>
  <c r="D99" i="2" s="1"/>
  <c r="B98" i="2"/>
  <c r="C98" i="2" s="1"/>
  <c r="D98" i="2" s="1"/>
  <c r="B97" i="2"/>
  <c r="C97" i="2" s="1"/>
  <c r="D97" i="2" s="1"/>
  <c r="B96" i="2"/>
  <c r="C96" i="2" s="1"/>
  <c r="D96" i="2" s="1"/>
  <c r="B95" i="2"/>
  <c r="C95" i="2" s="1"/>
  <c r="D95" i="2" s="1"/>
  <c r="B94" i="2"/>
  <c r="C94" i="2" s="1"/>
  <c r="D94" i="2" s="1"/>
  <c r="E94" i="2" s="1"/>
  <c r="B93" i="2"/>
  <c r="C93" i="2" s="1"/>
  <c r="D93" i="2" s="1"/>
  <c r="B92" i="2"/>
  <c r="C92" i="2" s="1"/>
  <c r="D92" i="2" s="1"/>
  <c r="B89" i="2"/>
  <c r="C89" i="2" s="1"/>
  <c r="D89" i="2" s="1"/>
  <c r="B88" i="2"/>
  <c r="C88" i="2" s="1"/>
  <c r="D88" i="2" s="1"/>
  <c r="E88" i="2" s="1"/>
  <c r="B87" i="2"/>
  <c r="C87" i="2" s="1"/>
  <c r="D87" i="2" s="1"/>
  <c r="B86" i="2"/>
  <c r="C86" i="2" s="1"/>
  <c r="D86" i="2" s="1"/>
  <c r="B85" i="2"/>
  <c r="C85" i="2" s="1"/>
  <c r="D85" i="2" s="1"/>
  <c r="B84" i="2"/>
  <c r="C84" i="2" s="1"/>
  <c r="D84" i="2" s="1"/>
  <c r="E84" i="2" s="1"/>
  <c r="B83" i="2"/>
  <c r="C83" i="2" s="1"/>
  <c r="D83" i="2" s="1"/>
  <c r="B82" i="2"/>
  <c r="C82" i="2" s="1"/>
  <c r="D82" i="2" s="1"/>
  <c r="E82" i="2" s="1"/>
  <c r="B81" i="2"/>
  <c r="C81" i="2" s="1"/>
  <c r="D81" i="2" s="1"/>
  <c r="B79" i="2"/>
  <c r="C79" i="2" s="1"/>
  <c r="D79" i="2" s="1"/>
  <c r="E79" i="2" s="1"/>
  <c r="B78" i="2"/>
  <c r="C78" i="2" s="1"/>
  <c r="D78" i="2" s="1"/>
  <c r="B77" i="2"/>
  <c r="C77" i="2" s="1"/>
  <c r="D77" i="2" s="1"/>
  <c r="B75" i="2"/>
  <c r="C75" i="2" s="1"/>
  <c r="D75" i="2" s="1"/>
  <c r="B74" i="2"/>
  <c r="C74" i="2" s="1"/>
  <c r="D74" i="2" s="1"/>
  <c r="B73" i="2"/>
  <c r="C73" i="2" s="1"/>
  <c r="D73" i="2" s="1"/>
  <c r="B72" i="2"/>
  <c r="C72" i="2" s="1"/>
  <c r="D72" i="2" s="1"/>
  <c r="B71" i="2"/>
  <c r="C71" i="2" s="1"/>
  <c r="D71" i="2" s="1"/>
  <c r="B70" i="2"/>
  <c r="C70" i="2" s="1"/>
  <c r="D70" i="2" s="1"/>
  <c r="B69" i="2"/>
  <c r="C69" i="2" s="1"/>
  <c r="D69" i="2" s="1"/>
  <c r="B68" i="2"/>
  <c r="C68" i="2" s="1"/>
  <c r="D68" i="2" s="1"/>
  <c r="B67" i="2"/>
  <c r="C67" i="2" s="1"/>
  <c r="D67" i="2" s="1"/>
  <c r="B66" i="2"/>
  <c r="C66" i="2" s="1"/>
  <c r="D66" i="2" s="1"/>
  <c r="B65" i="2"/>
  <c r="C65" i="2" s="1"/>
  <c r="D65" i="2" s="1"/>
  <c r="B63" i="2"/>
  <c r="C63" i="2" s="1"/>
  <c r="D63" i="2" s="1"/>
  <c r="B62" i="2"/>
  <c r="C62" i="2" s="1"/>
  <c r="D62" i="2" s="1"/>
  <c r="B61" i="2"/>
  <c r="C61" i="2" s="1"/>
  <c r="D61" i="2" s="1"/>
  <c r="B60" i="2"/>
  <c r="C60" i="2" s="1"/>
  <c r="D60" i="2" s="1"/>
  <c r="B59" i="2"/>
  <c r="C59" i="2" s="1"/>
  <c r="D59" i="2" s="1"/>
  <c r="B58" i="2"/>
  <c r="C58" i="2" s="1"/>
  <c r="D58" i="2" s="1"/>
  <c r="B57" i="2"/>
  <c r="C57" i="2" s="1"/>
  <c r="D57" i="2" s="1"/>
  <c r="B55" i="2"/>
  <c r="C55" i="2" s="1"/>
  <c r="D55" i="2" s="1"/>
  <c r="B54" i="2"/>
  <c r="C54" i="2" s="1"/>
  <c r="D54" i="2" s="1"/>
  <c r="B52" i="2"/>
  <c r="C52" i="2" s="1"/>
  <c r="D52" i="2" s="1"/>
  <c r="B51" i="2"/>
  <c r="C51" i="2" s="1"/>
  <c r="D51" i="2" s="1"/>
  <c r="B49" i="2"/>
  <c r="C49" i="2" s="1"/>
  <c r="D49" i="2" s="1"/>
  <c r="B48" i="2"/>
  <c r="C48" i="2" s="1"/>
  <c r="D48" i="2" s="1"/>
  <c r="B47" i="2"/>
  <c r="C47" i="2" s="1"/>
  <c r="D47" i="2" s="1"/>
  <c r="B46" i="2"/>
  <c r="C46" i="2" s="1"/>
  <c r="D46" i="2" s="1"/>
  <c r="B45" i="2"/>
  <c r="C45" i="2" s="1"/>
  <c r="D45" i="2" s="1"/>
  <c r="B44" i="2"/>
  <c r="C44" i="2" s="1"/>
  <c r="D44" i="2" s="1"/>
  <c r="B43" i="2"/>
  <c r="C43" i="2" s="1"/>
  <c r="D43" i="2" s="1"/>
  <c r="B42" i="2"/>
  <c r="C42" i="2" s="1"/>
  <c r="D42" i="2" s="1"/>
  <c r="B41" i="2"/>
  <c r="C41" i="2" s="1"/>
  <c r="D41" i="2" s="1"/>
  <c r="B40" i="2"/>
  <c r="C40" i="2" s="1"/>
  <c r="D40" i="2" s="1"/>
  <c r="B39" i="2"/>
  <c r="C39" i="2" s="1"/>
  <c r="D39" i="2" s="1"/>
  <c r="B38" i="2"/>
  <c r="C38" i="2" s="1"/>
  <c r="D38" i="2" s="1"/>
  <c r="B36" i="2"/>
  <c r="C36" i="2" s="1"/>
  <c r="D36" i="2" s="1"/>
  <c r="B35" i="2"/>
  <c r="C35" i="2" s="1"/>
  <c r="D35" i="2" s="1"/>
  <c r="B34" i="2"/>
  <c r="C34" i="2" s="1"/>
  <c r="D34" i="2" s="1"/>
  <c r="B33" i="2"/>
  <c r="C33" i="2" s="1"/>
  <c r="D33" i="2" s="1"/>
  <c r="B31" i="2"/>
  <c r="C31" i="2" s="1"/>
  <c r="D31" i="2" s="1"/>
  <c r="B30" i="2"/>
  <c r="C30" i="2" s="1"/>
  <c r="D30" i="2" s="1"/>
  <c r="B29" i="2"/>
  <c r="C29" i="2" s="1"/>
  <c r="D29" i="2" s="1"/>
  <c r="B28" i="2"/>
  <c r="C28" i="2" s="1"/>
  <c r="D28" i="2" s="1"/>
  <c r="B25" i="2"/>
  <c r="C25" i="2" s="1"/>
  <c r="D25" i="2" s="1"/>
  <c r="B24" i="2"/>
  <c r="C24" i="2" s="1"/>
  <c r="D24" i="2" s="1"/>
  <c r="B23" i="2"/>
  <c r="C23" i="2" s="1"/>
  <c r="D23" i="2" s="1"/>
  <c r="E23" i="2" s="1"/>
  <c r="B22" i="2"/>
  <c r="C22" i="2" s="1"/>
  <c r="D22" i="2" s="1"/>
  <c r="B20" i="2"/>
  <c r="C20" i="2" s="1"/>
  <c r="D20" i="2" s="1"/>
  <c r="E20" i="2" s="1"/>
  <c r="B19" i="2"/>
  <c r="C19" i="2" s="1"/>
  <c r="D19" i="2" s="1"/>
  <c r="B18" i="2"/>
  <c r="C18" i="2" s="1"/>
  <c r="D18" i="2" s="1"/>
  <c r="B16" i="2"/>
  <c r="C16" i="2" s="1"/>
  <c r="D16" i="2" s="1"/>
  <c r="B15" i="2"/>
  <c r="C15" i="2" s="1"/>
  <c r="D15" i="2" s="1"/>
  <c r="B14" i="2"/>
  <c r="C14" i="2" s="1"/>
  <c r="D14" i="2" s="1"/>
  <c r="B12" i="2"/>
  <c r="C12" i="2" s="1"/>
  <c r="D12" i="2" s="1"/>
  <c r="E12" i="2" s="1"/>
  <c r="B11" i="2"/>
  <c r="C11" i="2" s="1"/>
  <c r="D11" i="2" s="1"/>
  <c r="B10" i="2"/>
  <c r="C10" i="2" s="1"/>
  <c r="D10" i="2" s="1"/>
  <c r="B9" i="2"/>
  <c r="C9" i="2" s="1"/>
  <c r="D9" i="2" s="1"/>
  <c r="B8" i="2"/>
  <c r="C8" i="2" s="1"/>
  <c r="D8" i="2" s="1"/>
  <c r="B7" i="2"/>
  <c r="C7" i="2" s="1"/>
  <c r="D7" i="2" s="1"/>
  <c r="B6" i="2"/>
  <c r="C6" i="2" s="1"/>
  <c r="D6" i="2" s="1"/>
  <c r="E6" i="2" s="1"/>
  <c r="B5" i="2"/>
  <c r="C5" i="2" s="1"/>
  <c r="D5" i="2" s="1"/>
  <c r="B4" i="2"/>
  <c r="C4" i="2" s="1"/>
  <c r="D4" i="2" s="1"/>
  <c r="B2" i="2"/>
  <c r="C2" i="2" s="1"/>
  <c r="D2" i="2" s="1"/>
  <c r="Q5" i="2" l="1" a="1"/>
  <c r="Q5" i="2" s="1"/>
  <c r="P5" i="2" a="1"/>
  <c r="P5" i="2" s="1"/>
  <c r="O5" i="2" a="1"/>
  <c r="O5" i="2" s="1"/>
  <c r="N5" i="2" a="1"/>
  <c r="N5" i="2" s="1"/>
  <c r="Q4" i="2" a="1"/>
  <c r="Q4" i="2" s="1"/>
  <c r="Q6" i="2" s="1"/>
  <c r="P4" i="2" a="1"/>
  <c r="P4" i="2" s="1"/>
  <c r="P6" i="2" s="1"/>
  <c r="O4" i="2" a="1"/>
  <c r="O4" i="2" s="1"/>
  <c r="N4" i="2" a="1"/>
  <c r="N4" i="2" s="1"/>
  <c r="M4" i="2" a="1"/>
  <c r="M4" i="2" s="1"/>
  <c r="L4" i="2"/>
  <c r="L6" i="2" s="1"/>
  <c r="F130" i="2"/>
  <c r="G130" i="2" s="1"/>
  <c r="H130" i="2" s="1"/>
  <c r="F337" i="2"/>
  <c r="G337" i="2" s="1"/>
  <c r="H337" i="2" s="1"/>
  <c r="F464" i="2"/>
  <c r="G464" i="2" s="1"/>
  <c r="H464" i="2" s="1"/>
  <c r="F473" i="2"/>
  <c r="G473" i="2" s="1"/>
  <c r="H473" i="2" s="1"/>
  <c r="F150" i="2"/>
  <c r="G150" i="2" s="1"/>
  <c r="H150" i="2" s="1"/>
  <c r="F179" i="2"/>
  <c r="G179" i="2" s="1"/>
  <c r="H179" i="2" s="1"/>
  <c r="F221" i="2"/>
  <c r="G221" i="2" s="1"/>
  <c r="H221" i="2" s="1"/>
  <c r="F250" i="2"/>
  <c r="G250" i="2" s="1"/>
  <c r="H250" i="2" s="1"/>
  <c r="F271" i="2"/>
  <c r="G271" i="2" s="1"/>
  <c r="H271" i="2" s="1"/>
  <c r="F295" i="2"/>
  <c r="G295" i="2" s="1"/>
  <c r="H295" i="2" s="1"/>
  <c r="F474" i="2"/>
  <c r="G474" i="2" s="1"/>
  <c r="H474" i="2" s="1"/>
  <c r="F516" i="2"/>
  <c r="G516" i="2" s="1"/>
  <c r="H516" i="2" s="1"/>
  <c r="F186" i="2"/>
  <c r="G186" i="2" s="1"/>
  <c r="H186" i="2" s="1"/>
  <c r="F84" i="2"/>
  <c r="G84" i="2" s="1"/>
  <c r="H84" i="2" s="1"/>
  <c r="F94" i="2"/>
  <c r="G94" i="2" s="1"/>
  <c r="H94" i="2" s="1"/>
  <c r="F113" i="2"/>
  <c r="G113" i="2" s="1"/>
  <c r="H113" i="2" s="1"/>
  <c r="F142" i="2"/>
  <c r="G142" i="2" s="1"/>
  <c r="H142" i="2" s="1"/>
  <c r="F253" i="2"/>
  <c r="G253" i="2" s="1"/>
  <c r="H253" i="2" s="1"/>
  <c r="F313" i="2"/>
  <c r="G313" i="2" s="1"/>
  <c r="H313" i="2" s="1"/>
  <c r="F414" i="2"/>
  <c r="G414" i="2" s="1"/>
  <c r="H414" i="2" s="1"/>
  <c r="F550" i="2"/>
  <c r="G550" i="2" s="1"/>
  <c r="H550" i="2" s="1"/>
  <c r="F305" i="2"/>
  <c r="G305" i="2" s="1"/>
  <c r="H305" i="2" s="1"/>
  <c r="F82" i="2"/>
  <c r="G82" i="2" s="1"/>
  <c r="H82" i="2" s="1"/>
  <c r="F183" i="2"/>
  <c r="G183" i="2" s="1"/>
  <c r="H183" i="2" s="1"/>
  <c r="F264" i="2"/>
  <c r="G264" i="2" s="1"/>
  <c r="H264" i="2" s="1"/>
  <c r="F365" i="2"/>
  <c r="G365" i="2" s="1"/>
  <c r="H365" i="2" s="1"/>
  <c r="F493" i="2"/>
  <c r="G493" i="2" s="1"/>
  <c r="H493" i="2" s="1"/>
  <c r="F518" i="2"/>
  <c r="G518" i="2" s="1"/>
  <c r="H518" i="2" s="1"/>
  <c r="F585" i="2"/>
  <c r="G585" i="2" s="1"/>
  <c r="H585" i="2" s="1"/>
  <c r="F161" i="2"/>
  <c r="G161" i="2" s="1"/>
  <c r="H161" i="2" s="1"/>
  <c r="F203" i="2"/>
  <c r="G203" i="2" s="1"/>
  <c r="H203" i="2" s="1"/>
  <c r="F594" i="2"/>
  <c r="G594" i="2" s="1"/>
  <c r="H594" i="2" s="1"/>
  <c r="F123" i="2"/>
  <c r="G123" i="2" s="1"/>
  <c r="H123" i="2" s="1"/>
  <c r="F469" i="2"/>
  <c r="G469" i="2" s="1"/>
  <c r="H469" i="2" s="1"/>
  <c r="F630" i="2"/>
  <c r="G630" i="2" s="1"/>
  <c r="H630" i="2" s="1"/>
  <c r="F646" i="2"/>
  <c r="G646" i="2" s="1"/>
  <c r="H646" i="2" s="1"/>
  <c r="F76" i="2"/>
  <c r="G76" i="2" s="1"/>
  <c r="H76" i="2" s="1"/>
  <c r="F171" i="2"/>
  <c r="G171" i="2" s="1"/>
  <c r="H171" i="2" s="1"/>
  <c r="F20" i="2"/>
  <c r="G20" i="2" s="1"/>
  <c r="H20" i="2" s="1"/>
  <c r="F165" i="2"/>
  <c r="G165" i="2" s="1"/>
  <c r="H165" i="2" s="1"/>
  <c r="F206" i="2"/>
  <c r="G206" i="2" s="1"/>
  <c r="H206" i="2" s="1"/>
  <c r="F283" i="2"/>
  <c r="G283" i="2" s="1"/>
  <c r="H283" i="2" s="1"/>
  <c r="F520" i="2"/>
  <c r="G520" i="2" s="1"/>
  <c r="H520" i="2" s="1"/>
  <c r="F622" i="2"/>
  <c r="G622" i="2" s="1"/>
  <c r="H622" i="2" s="1"/>
  <c r="F27" i="2"/>
  <c r="G27" i="2" s="1"/>
  <c r="H27" i="2" s="1"/>
  <c r="F79" i="2"/>
  <c r="G79" i="2" s="1"/>
  <c r="H79" i="2" s="1"/>
  <c r="F88" i="2"/>
  <c r="G88" i="2" s="1"/>
  <c r="H88" i="2" s="1"/>
  <c r="F247" i="2"/>
  <c r="G247" i="2" s="1"/>
  <c r="H247" i="2" s="1"/>
  <c r="F368" i="2"/>
  <c r="G368" i="2" s="1"/>
  <c r="H368" i="2" s="1"/>
  <c r="F496" i="2"/>
  <c r="G496" i="2" s="1"/>
  <c r="H496" i="2" s="1"/>
  <c r="F530" i="2"/>
  <c r="G530" i="2" s="1"/>
  <c r="H530" i="2" s="1"/>
  <c r="F554" i="2"/>
  <c r="G554" i="2" s="1"/>
  <c r="H554" i="2" s="1"/>
  <c r="F606" i="2"/>
  <c r="G606" i="2" s="1"/>
  <c r="H606" i="2" s="1"/>
  <c r="F658" i="2"/>
  <c r="G658" i="2" s="1"/>
  <c r="H658" i="2" s="1"/>
  <c r="F666" i="2"/>
  <c r="G666" i="2" s="1"/>
  <c r="H666" i="2" s="1"/>
  <c r="F6" i="2"/>
  <c r="G6" i="2" s="1"/>
  <c r="H6" i="2" s="1"/>
  <c r="F12" i="2"/>
  <c r="G12" i="2" s="1"/>
  <c r="H12" i="2" s="1"/>
  <c r="F23" i="2"/>
  <c r="G23" i="2" s="1"/>
  <c r="H23" i="2" s="1"/>
  <c r="F177" i="2"/>
  <c r="G177" i="2" s="1"/>
  <c r="H177" i="2" s="1"/>
  <c r="F189" i="2"/>
  <c r="G189" i="2" s="1"/>
  <c r="H189" i="2" s="1"/>
  <c r="F293" i="2"/>
  <c r="G293" i="2" s="1"/>
  <c r="H293" i="2" s="1"/>
  <c r="F301" i="2"/>
  <c r="G301" i="2" s="1"/>
  <c r="H301" i="2" s="1"/>
  <c r="F336" i="2"/>
  <c r="G336" i="2" s="1"/>
  <c r="H336" i="2" s="1"/>
  <c r="F650" i="2"/>
  <c r="G650" i="2" s="1"/>
  <c r="H650" i="2" s="1"/>
  <c r="E41" i="2"/>
  <c r="E59" i="2"/>
  <c r="E38" i="2"/>
  <c r="E70" i="2"/>
  <c r="E56" i="2"/>
  <c r="E44" i="2"/>
  <c r="E132" i="2"/>
  <c r="E372" i="2"/>
  <c r="E548" i="2"/>
  <c r="E564" i="2"/>
  <c r="E333" i="2"/>
  <c r="E477" i="2"/>
  <c r="E525" i="2"/>
  <c r="E3" i="2"/>
  <c r="E91" i="2"/>
  <c r="E347" i="2"/>
  <c r="E118" i="2"/>
  <c r="E430" i="2"/>
  <c r="E438" i="2"/>
  <c r="E446" i="2"/>
  <c r="E454" i="2"/>
  <c r="E470" i="2"/>
  <c r="E590" i="2"/>
  <c r="E521" i="2"/>
  <c r="E62" i="2"/>
  <c r="E182" i="2"/>
  <c r="E422" i="2"/>
  <c r="E359" i="2"/>
  <c r="E551" i="2"/>
  <c r="E369" i="2"/>
  <c r="E35" i="2"/>
  <c r="E47" i="2"/>
  <c r="E167" i="2"/>
  <c r="E232" i="2"/>
  <c r="E272" i="2"/>
  <c r="E376" i="2"/>
  <c r="E456" i="2"/>
  <c r="E552" i="2"/>
  <c r="E406" i="2"/>
  <c r="E63" i="2"/>
  <c r="E487" i="2"/>
  <c r="E209" i="2"/>
  <c r="E633" i="2"/>
  <c r="E50" i="2"/>
  <c r="E99" i="2"/>
  <c r="E190" i="2"/>
  <c r="E398" i="2"/>
  <c r="E15" i="2"/>
  <c r="E55" i="2"/>
  <c r="E215" i="2"/>
  <c r="E178" i="2"/>
  <c r="E218" i="2"/>
  <c r="E490" i="2"/>
  <c r="E602" i="2"/>
  <c r="E197" i="2"/>
  <c r="E324" i="2"/>
  <c r="E572" i="2"/>
  <c r="E536" i="2"/>
  <c r="E468" i="2"/>
  <c r="E553" i="2"/>
  <c r="E569" i="2"/>
  <c r="E601" i="2"/>
  <c r="E408" i="2"/>
  <c r="E440" i="2"/>
  <c r="E617" i="2"/>
  <c r="E498" i="2"/>
  <c r="E546" i="2"/>
  <c r="E562" i="2"/>
  <c r="E578" i="2"/>
  <c r="E586" i="2"/>
  <c r="E626" i="2"/>
  <c r="E634" i="2"/>
  <c r="E403" i="2"/>
  <c r="E419" i="2"/>
  <c r="E435" i="2"/>
  <c r="E451" i="2"/>
  <c r="E459" i="2"/>
  <c r="E467" i="2"/>
  <c r="E507" i="2"/>
  <c r="E300" i="2"/>
  <c r="E532" i="2"/>
  <c r="E2" i="2"/>
  <c r="E549" i="2"/>
  <c r="E565" i="2"/>
  <c r="E573" i="2"/>
  <c r="E18" i="2"/>
  <c r="E28" i="2"/>
  <c r="E34" i="2"/>
  <c r="E43" i="2"/>
  <c r="E54" i="2"/>
  <c r="E61" i="2"/>
  <c r="E72" i="2"/>
  <c r="E4" i="2"/>
  <c r="E10" i="2"/>
  <c r="E19" i="2"/>
  <c r="E98" i="2"/>
  <c r="E11" i="2"/>
  <c r="E24" i="2"/>
  <c r="E78" i="2"/>
  <c r="E5" i="2"/>
  <c r="E30" i="2"/>
  <c r="E40" i="2"/>
  <c r="E25" i="2"/>
  <c r="E36" i="2"/>
  <c r="E69" i="2"/>
  <c r="E75" i="2"/>
  <c r="E89" i="2"/>
  <c r="E16" i="2"/>
  <c r="E26" i="2"/>
  <c r="E37" i="2"/>
  <c r="E52" i="2"/>
  <c r="E90" i="2"/>
  <c r="E7" i="2"/>
  <c r="E13" i="2"/>
  <c r="E32" i="2"/>
  <c r="E46" i="2"/>
  <c r="E120" i="2"/>
  <c r="E8" i="2"/>
  <c r="E17" i="2"/>
  <c r="E22" i="2"/>
  <c r="E33" i="2"/>
  <c r="E42" i="2"/>
  <c r="E60" i="2"/>
  <c r="E96" i="2"/>
  <c r="E169" i="2"/>
  <c r="E208" i="2"/>
  <c r="E479" i="2"/>
  <c r="E14" i="2"/>
  <c r="E29" i="2"/>
  <c r="E31" i="2"/>
  <c r="E45" i="2"/>
  <c r="E67" i="2"/>
  <c r="E87" i="2"/>
  <c r="E103" i="2"/>
  <c r="E107" i="2"/>
  <c r="E115" i="2"/>
  <c r="E128" i="2"/>
  <c r="E138" i="2"/>
  <c r="E147" i="2"/>
  <c r="E154" i="2"/>
  <c r="E159" i="2"/>
  <c r="E175" i="2"/>
  <c r="E213" i="2"/>
  <c r="E231" i="2"/>
  <c r="E236" i="2"/>
  <c r="E252" i="2"/>
  <c r="E260" i="2"/>
  <c r="E364" i="2"/>
  <c r="E188" i="2"/>
  <c r="E296" i="2"/>
  <c r="E48" i="2"/>
  <c r="E64" i="2"/>
  <c r="E71" i="2"/>
  <c r="E74" i="2"/>
  <c r="E77" i="2"/>
  <c r="E100" i="2"/>
  <c r="E104" i="2"/>
  <c r="E108" i="2"/>
  <c r="E112" i="2"/>
  <c r="E116" i="2"/>
  <c r="E119" i="2"/>
  <c r="E124" i="2"/>
  <c r="E139" i="2"/>
  <c r="E143" i="2"/>
  <c r="E151" i="2"/>
  <c r="E160" i="2"/>
  <c r="E170" i="2"/>
  <c r="E184" i="2"/>
  <c r="E219" i="2"/>
  <c r="E225" i="2"/>
  <c r="E199" i="2"/>
  <c r="E39" i="2"/>
  <c r="E58" i="2"/>
  <c r="E68" i="2"/>
  <c r="E80" i="2"/>
  <c r="E85" i="2"/>
  <c r="E93" i="2"/>
  <c r="E97" i="2"/>
  <c r="E129" i="2"/>
  <c r="E155" i="2"/>
  <c r="E201" i="2"/>
  <c r="E220" i="2"/>
  <c r="E254" i="2"/>
  <c r="E287" i="2"/>
  <c r="E302" i="2"/>
  <c r="E320" i="2"/>
  <c r="E127" i="2"/>
  <c r="E158" i="2"/>
  <c r="E240" i="2"/>
  <c r="E631" i="2"/>
  <c r="E65" i="2"/>
  <c r="E109" i="2"/>
  <c r="E117" i="2"/>
  <c r="E125" i="2"/>
  <c r="E134" i="2"/>
  <c r="E148" i="2"/>
  <c r="E166" i="2"/>
  <c r="E176" i="2"/>
  <c r="E181" i="2"/>
  <c r="E185" i="2"/>
  <c r="E202" i="2"/>
  <c r="E255" i="2"/>
  <c r="E314" i="2"/>
  <c r="E57" i="2"/>
  <c r="E92" i="2"/>
  <c r="E111" i="2"/>
  <c r="E164" i="2"/>
  <c r="E489" i="2"/>
  <c r="E9" i="2"/>
  <c r="F9" i="2" s="1"/>
  <c r="G9" i="2" s="1"/>
  <c r="H9" i="2" s="1"/>
  <c r="E53" i="2"/>
  <c r="E51" i="2"/>
  <c r="E83" i="2"/>
  <c r="E101" i="2"/>
  <c r="E105" i="2"/>
  <c r="E110" i="2"/>
  <c r="E121" i="2"/>
  <c r="E135" i="2"/>
  <c r="E140" i="2"/>
  <c r="E144" i="2"/>
  <c r="E152" i="2"/>
  <c r="E156" i="2"/>
  <c r="E172" i="2"/>
  <c r="E191" i="2"/>
  <c r="E222" i="2"/>
  <c r="E294" i="2"/>
  <c r="E174" i="2"/>
  <c r="E657" i="2"/>
  <c r="E21" i="2"/>
  <c r="E49" i="2"/>
  <c r="E81" i="2"/>
  <c r="E86" i="2"/>
  <c r="E114" i="2"/>
  <c r="E122" i="2"/>
  <c r="E131" i="2"/>
  <c r="E136" i="2"/>
  <c r="E145" i="2"/>
  <c r="E149" i="2"/>
  <c r="E157" i="2"/>
  <c r="E211" i="2"/>
  <c r="E216" i="2"/>
  <c r="E249" i="2"/>
  <c r="E276" i="2"/>
  <c r="E66" i="2"/>
  <c r="E73" i="2"/>
  <c r="E95" i="2"/>
  <c r="E102" i="2"/>
  <c r="E137" i="2"/>
  <c r="E141" i="2"/>
  <c r="E146" i="2"/>
  <c r="E163" i="2"/>
  <c r="E173" i="2"/>
  <c r="E187" i="2"/>
  <c r="E193" i="2"/>
  <c r="E198" i="2"/>
  <c r="E204" i="2"/>
  <c r="E217" i="2"/>
  <c r="E229" i="2"/>
  <c r="E195" i="2"/>
  <c r="E207" i="2"/>
  <c r="E241" i="2"/>
  <c r="E245" i="2"/>
  <c r="E277" i="2"/>
  <c r="E282" i="2"/>
  <c r="E297" i="2"/>
  <c r="E309" i="2"/>
  <c r="E338" i="2"/>
  <c r="E343" i="2"/>
  <c r="E471" i="2"/>
  <c r="E162" i="2"/>
  <c r="E168" i="2"/>
  <c r="E192" i="2"/>
  <c r="E210" i="2"/>
  <c r="E226" i="2"/>
  <c r="E233" i="2"/>
  <c r="E237" i="2"/>
  <c r="E261" i="2"/>
  <c r="E269" i="2"/>
  <c r="E278" i="2"/>
  <c r="E288" i="2"/>
  <c r="E310" i="2"/>
  <c r="E326" i="2"/>
  <c r="E331" i="2"/>
  <c r="E339" i="2"/>
  <c r="E349" i="2"/>
  <c r="E355" i="2"/>
  <c r="E205" i="2"/>
  <c r="E223" i="2"/>
  <c r="E230" i="2"/>
  <c r="E234" i="2"/>
  <c r="E238" i="2"/>
  <c r="E246" i="2"/>
  <c r="E251" i="2"/>
  <c r="E256" i="2"/>
  <c r="E265" i="2"/>
  <c r="E273" i="2"/>
  <c r="E311" i="2"/>
  <c r="E315" i="2"/>
  <c r="E335" i="2"/>
  <c r="E361" i="2"/>
  <c r="E377" i="2"/>
  <c r="E385" i="2"/>
  <c r="E445" i="2"/>
  <c r="E460" i="2"/>
  <c r="E106" i="2"/>
  <c r="E126" i="2"/>
  <c r="E133" i="2"/>
  <c r="E153" i="2"/>
  <c r="E196" i="2"/>
  <c r="E227" i="2"/>
  <c r="E257" i="2"/>
  <c r="E262" i="2"/>
  <c r="E270" i="2"/>
  <c r="E279" i="2"/>
  <c r="E289" i="2"/>
  <c r="E298" i="2"/>
  <c r="E306" i="2"/>
  <c r="E312" i="2"/>
  <c r="E316" i="2"/>
  <c r="E340" i="2"/>
  <c r="E345" i="2"/>
  <c r="E350" i="2"/>
  <c r="E200" i="2"/>
  <c r="E214" i="2"/>
  <c r="E224" i="2"/>
  <c r="E235" i="2"/>
  <c r="E258" i="2"/>
  <c r="E266" i="2"/>
  <c r="E274" i="2"/>
  <c r="E285" i="2"/>
  <c r="E290" i="2"/>
  <c r="E317" i="2"/>
  <c r="E323" i="2"/>
  <c r="E346" i="2"/>
  <c r="E362" i="2"/>
  <c r="E379" i="2"/>
  <c r="E180" i="2"/>
  <c r="E239" i="2"/>
  <c r="E243" i="2"/>
  <c r="E248" i="2"/>
  <c r="E263" i="2"/>
  <c r="E267" i="2"/>
  <c r="E280" i="2"/>
  <c r="E291" i="2"/>
  <c r="E299" i="2"/>
  <c r="E307" i="2"/>
  <c r="E318" i="2"/>
  <c r="E329" i="2"/>
  <c r="E341" i="2"/>
  <c r="E358" i="2"/>
  <c r="E367" i="2"/>
  <c r="E374" i="2"/>
  <c r="E415" i="2"/>
  <c r="E194" i="2"/>
  <c r="E212" i="2"/>
  <c r="E228" i="2"/>
  <c r="E244" i="2"/>
  <c r="E259" i="2"/>
  <c r="E268" i="2"/>
  <c r="E275" i="2"/>
  <c r="E281" i="2"/>
  <c r="E286" i="2"/>
  <c r="E292" i="2"/>
  <c r="E303" i="2"/>
  <c r="E308" i="2"/>
  <c r="E319" i="2"/>
  <c r="E342" i="2"/>
  <c r="E353" i="2"/>
  <c r="E371" i="2"/>
  <c r="E375" i="2"/>
  <c r="E397" i="2"/>
  <c r="E401" i="2"/>
  <c r="E404" i="2"/>
  <c r="E357" i="2"/>
  <c r="E390" i="2"/>
  <c r="E394" i="2"/>
  <c r="E427" i="2"/>
  <c r="E442" i="2"/>
  <c r="E453" i="2"/>
  <c r="E457" i="2"/>
  <c r="E461" i="2"/>
  <c r="E465" i="2"/>
  <c r="E485" i="2"/>
  <c r="E542" i="2"/>
  <c r="E284" i="2"/>
  <c r="E304" i="2"/>
  <c r="E334" i="2"/>
  <c r="E348" i="2"/>
  <c r="E351" i="2"/>
  <c r="E354" i="2"/>
  <c r="E360" i="2"/>
  <c r="E380" i="2"/>
  <c r="E386" i="2"/>
  <c r="E405" i="2"/>
  <c r="E416" i="2"/>
  <c r="E423" i="2"/>
  <c r="E431" i="2"/>
  <c r="E476" i="2"/>
  <c r="E481" i="2"/>
  <c r="E494" i="2"/>
  <c r="E538" i="2"/>
  <c r="E321" i="2"/>
  <c r="E332" i="2"/>
  <c r="E370" i="2"/>
  <c r="E381" i="2"/>
  <c r="E391" i="2"/>
  <c r="E395" i="2"/>
  <c r="E409" i="2"/>
  <c r="E417" i="2"/>
  <c r="E420" i="2"/>
  <c r="E443" i="2"/>
  <c r="E458" i="2"/>
  <c r="E462" i="2"/>
  <c r="E510" i="2"/>
  <c r="E524" i="2"/>
  <c r="E242" i="2"/>
  <c r="E327" i="2"/>
  <c r="E363" i="2"/>
  <c r="E382" i="2"/>
  <c r="E387" i="2"/>
  <c r="E392" i="2"/>
  <c r="E413" i="2"/>
  <c r="E424" i="2"/>
  <c r="E432" i="2"/>
  <c r="E439" i="2"/>
  <c r="E447" i="2"/>
  <c r="E466" i="2"/>
  <c r="E482" i="2"/>
  <c r="E517" i="2"/>
  <c r="E325" i="2"/>
  <c r="E330" i="2"/>
  <c r="E352" i="2"/>
  <c r="E366" i="2"/>
  <c r="E373" i="2"/>
  <c r="E388" i="2"/>
  <c r="E410" i="2"/>
  <c r="E421" i="2"/>
  <c r="E425" i="2"/>
  <c r="E433" i="2"/>
  <c r="E436" i="2"/>
  <c r="E463" i="2"/>
  <c r="E512" i="2"/>
  <c r="E322" i="2"/>
  <c r="E328" i="2"/>
  <c r="E344" i="2"/>
  <c r="E383" i="2"/>
  <c r="E389" i="2"/>
  <c r="E429" i="2"/>
  <c r="E448" i="2"/>
  <c r="E455" i="2"/>
  <c r="E356" i="2"/>
  <c r="E378" i="2"/>
  <c r="E384" i="2"/>
  <c r="E393" i="2"/>
  <c r="E400" i="2"/>
  <c r="E411" i="2"/>
  <c r="E426" i="2"/>
  <c r="E437" i="2"/>
  <c r="E441" i="2"/>
  <c r="E449" i="2"/>
  <c r="E452" i="2"/>
  <c r="E503" i="2"/>
  <c r="E534" i="2"/>
  <c r="E587" i="2"/>
  <c r="E605" i="2"/>
  <c r="E620" i="2"/>
  <c r="E488" i="2"/>
  <c r="E491" i="2"/>
  <c r="E495" i="2"/>
  <c r="E504" i="2"/>
  <c r="E531" i="2"/>
  <c r="E402" i="2"/>
  <c r="E418" i="2"/>
  <c r="E434" i="2"/>
  <c r="E450" i="2"/>
  <c r="E480" i="2"/>
  <c r="E508" i="2"/>
  <c r="E522" i="2"/>
  <c r="E526" i="2"/>
  <c r="E396" i="2"/>
  <c r="E399" i="2"/>
  <c r="E407" i="2"/>
  <c r="E412" i="2"/>
  <c r="E428" i="2"/>
  <c r="E444" i="2"/>
  <c r="E472" i="2"/>
  <c r="E486" i="2"/>
  <c r="E492" i="2"/>
  <c r="E500" i="2"/>
  <c r="E509" i="2"/>
  <c r="E514" i="2"/>
  <c r="E519" i="2"/>
  <c r="E483" i="2"/>
  <c r="E506" i="2"/>
  <c r="E515" i="2"/>
  <c r="E540" i="2"/>
  <c r="E475" i="2"/>
  <c r="E478" i="2"/>
  <c r="E501" i="2"/>
  <c r="E568" i="2"/>
  <c r="E502" i="2"/>
  <c r="E511" i="2"/>
  <c r="E529" i="2"/>
  <c r="E537" i="2"/>
  <c r="E563" i="2"/>
  <c r="E566" i="2"/>
  <c r="E570" i="2"/>
  <c r="E640" i="2"/>
  <c r="E574" i="2"/>
  <c r="E579" i="2"/>
  <c r="E599" i="2"/>
  <c r="E614" i="2"/>
  <c r="E497" i="2"/>
  <c r="E499" i="2"/>
  <c r="E505" i="2"/>
  <c r="E513" i="2"/>
  <c r="E535" i="2"/>
  <c r="E543" i="2"/>
  <c r="E560" i="2"/>
  <c r="E567" i="2"/>
  <c r="E584" i="2"/>
  <c r="E595" i="2"/>
  <c r="E556" i="2"/>
  <c r="E561" i="2"/>
  <c r="E609" i="2"/>
  <c r="E635" i="2"/>
  <c r="E484" i="2"/>
  <c r="E527" i="2"/>
  <c r="E541" i="2"/>
  <c r="E544" i="2"/>
  <c r="E547" i="2"/>
  <c r="E575" i="2"/>
  <c r="E581" i="2"/>
  <c r="E629" i="2"/>
  <c r="E533" i="2"/>
  <c r="E557" i="2"/>
  <c r="E576" i="2"/>
  <c r="E597" i="2"/>
  <c r="E528" i="2"/>
  <c r="E545" i="2"/>
  <c r="E558" i="2"/>
  <c r="E577" i="2"/>
  <c r="E612" i="2"/>
  <c r="E625" i="2"/>
  <c r="E641" i="2"/>
  <c r="E662" i="2"/>
  <c r="E555" i="2"/>
  <c r="E591" i="2"/>
  <c r="E596" i="2"/>
  <c r="E610" i="2"/>
  <c r="E621" i="2"/>
  <c r="E636" i="2"/>
  <c r="E647" i="2"/>
  <c r="E571" i="2"/>
  <c r="E582" i="2"/>
  <c r="E588" i="2"/>
  <c r="E592" i="2"/>
  <c r="E600" i="2"/>
  <c r="E611" i="2"/>
  <c r="E618" i="2"/>
  <c r="E642" i="2"/>
  <c r="E648" i="2"/>
  <c r="E664" i="2"/>
  <c r="E603" i="2"/>
  <c r="E627" i="2"/>
  <c r="E637" i="2"/>
  <c r="E665" i="2"/>
  <c r="E580" i="2"/>
  <c r="E589" i="2"/>
  <c r="E593" i="2"/>
  <c r="E607" i="2"/>
  <c r="E638" i="2"/>
  <c r="E654" i="2"/>
  <c r="E583" i="2"/>
  <c r="E598" i="2"/>
  <c r="E604" i="2"/>
  <c r="E616" i="2"/>
  <c r="E623" i="2"/>
  <c r="E628" i="2"/>
  <c r="E639" i="2"/>
  <c r="E644" i="2"/>
  <c r="E523" i="2"/>
  <c r="E539" i="2"/>
  <c r="E559" i="2"/>
  <c r="E608" i="2"/>
  <c r="E613" i="2"/>
  <c r="E624" i="2"/>
  <c r="E645" i="2"/>
  <c r="E656" i="2"/>
  <c r="E653" i="2"/>
  <c r="E659" i="2"/>
  <c r="E651" i="2"/>
  <c r="E619" i="2"/>
  <c r="E660" i="2"/>
  <c r="E663" i="2"/>
  <c r="E615" i="2"/>
  <c r="E632" i="2"/>
  <c r="E643" i="2"/>
  <c r="E649" i="2"/>
  <c r="E652" i="2"/>
  <c r="E655" i="2"/>
  <c r="E661" i="2"/>
  <c r="E667" i="2"/>
  <c r="F668" i="1"/>
  <c r="F618" i="2" l="1"/>
  <c r="G618" i="2" s="1"/>
  <c r="H618" i="2" s="1"/>
  <c r="F540" i="2"/>
  <c r="G540" i="2" s="1"/>
  <c r="H540" i="2" s="1"/>
  <c r="F432" i="2"/>
  <c r="G432" i="2" s="1"/>
  <c r="H432" i="2" s="1"/>
  <c r="F374" i="2"/>
  <c r="G374" i="2" s="1"/>
  <c r="H374" i="2" s="1"/>
  <c r="F288" i="2"/>
  <c r="G288" i="2" s="1"/>
  <c r="H288" i="2" s="1"/>
  <c r="F181" i="2"/>
  <c r="G181" i="2" s="1"/>
  <c r="H181" i="2" s="1"/>
  <c r="F479" i="2"/>
  <c r="G479" i="2" s="1"/>
  <c r="H479" i="2" s="1"/>
  <c r="F621" i="2"/>
  <c r="G621" i="2" s="1"/>
  <c r="H621" i="2" s="1"/>
  <c r="F515" i="2"/>
  <c r="G515" i="2" s="1"/>
  <c r="H515" i="2" s="1"/>
  <c r="F389" i="2"/>
  <c r="G389" i="2" s="1"/>
  <c r="H389" i="2" s="1"/>
  <c r="F360" i="2"/>
  <c r="G360" i="2" s="1"/>
  <c r="H360" i="2" s="1"/>
  <c r="F258" i="2"/>
  <c r="G258" i="2" s="1"/>
  <c r="H258" i="2" s="1"/>
  <c r="F198" i="2"/>
  <c r="G198" i="2" s="1"/>
  <c r="H198" i="2" s="1"/>
  <c r="F108" i="2"/>
  <c r="G108" i="2" s="1"/>
  <c r="H108" i="2" s="1"/>
  <c r="F583" i="2"/>
  <c r="G583" i="2" s="1"/>
  <c r="H583" i="2" s="1"/>
  <c r="F635" i="2"/>
  <c r="G635" i="2" s="1"/>
  <c r="H635" i="2" s="1"/>
  <c r="F472" i="2"/>
  <c r="G472" i="2" s="1"/>
  <c r="H472" i="2" s="1"/>
  <c r="F393" i="2"/>
  <c r="G393" i="2" s="1"/>
  <c r="H393" i="2" s="1"/>
  <c r="F413" i="2"/>
  <c r="G413" i="2" s="1"/>
  <c r="H413" i="2" s="1"/>
  <c r="F354" i="2"/>
  <c r="G354" i="2" s="1"/>
  <c r="H354" i="2" s="1"/>
  <c r="F358" i="2"/>
  <c r="G358" i="2" s="1"/>
  <c r="H358" i="2" s="1"/>
  <c r="F312" i="2"/>
  <c r="G312" i="2" s="1"/>
  <c r="H312" i="2" s="1"/>
  <c r="F256" i="2"/>
  <c r="G256" i="2" s="1"/>
  <c r="H256" i="2" s="1"/>
  <c r="F245" i="2"/>
  <c r="G245" i="2" s="1"/>
  <c r="H245" i="2" s="1"/>
  <c r="F49" i="2"/>
  <c r="G49" i="2" s="1"/>
  <c r="H49" i="2" s="1"/>
  <c r="F166" i="2"/>
  <c r="G166" i="2" s="1"/>
  <c r="H166" i="2" s="1"/>
  <c r="F188" i="2"/>
  <c r="G188" i="2" s="1"/>
  <c r="H188" i="2" s="1"/>
  <c r="F26" i="2"/>
  <c r="G26" i="2" s="1"/>
  <c r="H26" i="2" s="1"/>
  <c r="F456" i="2"/>
  <c r="G456" i="2" s="1"/>
  <c r="H456" i="2" s="1"/>
  <c r="F644" i="2"/>
  <c r="G644" i="2" s="1"/>
  <c r="H644" i="2" s="1"/>
  <c r="F627" i="2"/>
  <c r="G627" i="2" s="1"/>
  <c r="H627" i="2" s="1"/>
  <c r="F558" i="2"/>
  <c r="G558" i="2" s="1"/>
  <c r="H558" i="2" s="1"/>
  <c r="F535" i="2"/>
  <c r="G535" i="2" s="1"/>
  <c r="H535" i="2" s="1"/>
  <c r="F483" i="2"/>
  <c r="G483" i="2" s="1"/>
  <c r="H483" i="2" s="1"/>
  <c r="F495" i="2"/>
  <c r="G495" i="2" s="1"/>
  <c r="H495" i="2" s="1"/>
  <c r="F344" i="2"/>
  <c r="G344" i="2" s="1"/>
  <c r="H344" i="2" s="1"/>
  <c r="F392" i="2"/>
  <c r="G392" i="2" s="1"/>
  <c r="H392" i="2" s="1"/>
  <c r="F431" i="2"/>
  <c r="G431" i="2" s="1"/>
  <c r="H431" i="2" s="1"/>
  <c r="F404" i="2"/>
  <c r="G404" i="2" s="1"/>
  <c r="H404" i="2" s="1"/>
  <c r="F341" i="2"/>
  <c r="G341" i="2" s="1"/>
  <c r="H341" i="2" s="1"/>
  <c r="F224" i="2"/>
  <c r="G224" i="2" s="1"/>
  <c r="H224" i="2" s="1"/>
  <c r="F377" i="2"/>
  <c r="G377" i="2" s="1"/>
  <c r="H377" i="2" s="1"/>
  <c r="F261" i="2"/>
  <c r="G261" i="2" s="1"/>
  <c r="H261" i="2" s="1"/>
  <c r="F241" i="2"/>
  <c r="G241" i="2" s="1"/>
  <c r="H241" i="2" s="1"/>
  <c r="F145" i="2"/>
  <c r="G145" i="2" s="1"/>
  <c r="H145" i="2" s="1"/>
  <c r="F83" i="2"/>
  <c r="G83" i="2" s="1"/>
  <c r="H83" i="2" s="1"/>
  <c r="F148" i="2"/>
  <c r="G148" i="2" s="1"/>
  <c r="H148" i="2" s="1"/>
  <c r="F155" i="2"/>
  <c r="G155" i="2" s="1"/>
  <c r="H155" i="2" s="1"/>
  <c r="F100" i="2"/>
  <c r="G100" i="2" s="1"/>
  <c r="H100" i="2" s="1"/>
  <c r="F154" i="2"/>
  <c r="G154" i="2" s="1"/>
  <c r="H154" i="2" s="1"/>
  <c r="F96" i="2"/>
  <c r="G96" i="2" s="1"/>
  <c r="H96" i="2" s="1"/>
  <c r="F16" i="2"/>
  <c r="G16" i="2" s="1"/>
  <c r="H16" i="2" s="1"/>
  <c r="F72" i="2"/>
  <c r="G72" i="2" s="1"/>
  <c r="H72" i="2" s="1"/>
  <c r="F451" i="2"/>
  <c r="G451" i="2" s="1"/>
  <c r="H451" i="2" s="1"/>
  <c r="F553" i="2"/>
  <c r="G553" i="2" s="1"/>
  <c r="H553" i="2" s="1"/>
  <c r="F50" i="2"/>
  <c r="G50" i="2" s="1"/>
  <c r="H50" i="2" s="1"/>
  <c r="F359" i="2"/>
  <c r="G359" i="2" s="1"/>
  <c r="H359" i="2" s="1"/>
  <c r="F477" i="2"/>
  <c r="G477" i="2" s="1"/>
  <c r="H477" i="2" s="1"/>
  <c r="F615" i="2"/>
  <c r="G615" i="2" s="1"/>
  <c r="H615" i="2" s="1"/>
  <c r="F639" i="2"/>
  <c r="G639" i="2" s="1"/>
  <c r="H639" i="2" s="1"/>
  <c r="F603" i="2"/>
  <c r="G603" i="2" s="1"/>
  <c r="H603" i="2" s="1"/>
  <c r="F591" i="2"/>
  <c r="G591" i="2" s="1"/>
  <c r="H591" i="2" s="1"/>
  <c r="F575" i="2"/>
  <c r="G575" i="2" s="1"/>
  <c r="H575" i="2" s="1"/>
  <c r="F513" i="2"/>
  <c r="G513" i="2" s="1"/>
  <c r="H513" i="2" s="1"/>
  <c r="F568" i="2"/>
  <c r="G568" i="2" s="1"/>
  <c r="H568" i="2" s="1"/>
  <c r="F428" i="2"/>
  <c r="G428" i="2" s="1"/>
  <c r="H428" i="2" s="1"/>
  <c r="F491" i="2"/>
  <c r="G491" i="2" s="1"/>
  <c r="H491" i="2" s="1"/>
  <c r="F378" i="2"/>
  <c r="G378" i="2" s="1"/>
  <c r="H378" i="2" s="1"/>
  <c r="F410" i="2"/>
  <c r="G410" i="2" s="1"/>
  <c r="H410" i="2" s="1"/>
  <c r="F387" i="2"/>
  <c r="G387" i="2" s="1"/>
  <c r="H387" i="2" s="1"/>
  <c r="F370" i="2"/>
  <c r="G370" i="2" s="1"/>
  <c r="H370" i="2" s="1"/>
  <c r="F348" i="2"/>
  <c r="G348" i="2" s="1"/>
  <c r="H348" i="2" s="1"/>
  <c r="F401" i="2"/>
  <c r="G401" i="2" s="1"/>
  <c r="H401" i="2" s="1"/>
  <c r="F228" i="2"/>
  <c r="G228" i="2" s="1"/>
  <c r="H228" i="2" s="1"/>
  <c r="F248" i="2"/>
  <c r="G248" i="2" s="1"/>
  <c r="H248" i="2" s="1"/>
  <c r="F214" i="2"/>
  <c r="G214" i="2" s="1"/>
  <c r="H214" i="2" s="1"/>
  <c r="F153" i="2"/>
  <c r="G153" i="2" s="1"/>
  <c r="H153" i="2" s="1"/>
  <c r="F246" i="2"/>
  <c r="G246" i="2" s="1"/>
  <c r="H246" i="2" s="1"/>
  <c r="F237" i="2"/>
  <c r="G237" i="2" s="1"/>
  <c r="H237" i="2" s="1"/>
  <c r="F207" i="2"/>
  <c r="G207" i="2" s="1"/>
  <c r="H207" i="2" s="1"/>
  <c r="F66" i="2"/>
  <c r="G66" i="2" s="1"/>
  <c r="H66" i="2" s="1"/>
  <c r="F657" i="2"/>
  <c r="G657" i="2" s="1"/>
  <c r="H657" i="2" s="1"/>
  <c r="F51" i="2"/>
  <c r="G51" i="2" s="1"/>
  <c r="H51" i="2" s="1"/>
  <c r="F134" i="2"/>
  <c r="G134" i="2" s="1"/>
  <c r="H134" i="2" s="1"/>
  <c r="F129" i="2"/>
  <c r="G129" i="2" s="1"/>
  <c r="H129" i="2" s="1"/>
  <c r="F139" i="2"/>
  <c r="G139" i="2" s="1"/>
  <c r="H139" i="2" s="1"/>
  <c r="F260" i="2"/>
  <c r="G260" i="2" s="1"/>
  <c r="H260" i="2" s="1"/>
  <c r="F45" i="2"/>
  <c r="G45" i="2" s="1"/>
  <c r="H45" i="2" s="1"/>
  <c r="F32" i="2"/>
  <c r="G32" i="2" s="1"/>
  <c r="H32" i="2" s="1"/>
  <c r="F78" i="2"/>
  <c r="G78" i="2" s="1"/>
  <c r="H78" i="2" s="1"/>
  <c r="F549" i="2"/>
  <c r="G549" i="2" s="1"/>
  <c r="H549" i="2" s="1"/>
  <c r="F546" i="2"/>
  <c r="G546" i="2" s="1"/>
  <c r="H546" i="2" s="1"/>
  <c r="F178" i="2"/>
  <c r="G178" i="2" s="1"/>
  <c r="H178" i="2" s="1"/>
  <c r="F272" i="2"/>
  <c r="G272" i="2" s="1"/>
  <c r="H272" i="2" s="1"/>
  <c r="F438" i="2"/>
  <c r="G438" i="2" s="1"/>
  <c r="H438" i="2" s="1"/>
  <c r="F333" i="2"/>
  <c r="G333" i="2" s="1"/>
  <c r="H333" i="2" s="1"/>
  <c r="F667" i="2"/>
  <c r="G667" i="2" s="1"/>
  <c r="H667" i="2" s="1"/>
  <c r="F663" i="2"/>
  <c r="G663" i="2" s="1"/>
  <c r="H663" i="2" s="1"/>
  <c r="F624" i="2"/>
  <c r="G624" i="2" s="1"/>
  <c r="H624" i="2" s="1"/>
  <c r="F628" i="2"/>
  <c r="G628" i="2" s="1"/>
  <c r="H628" i="2" s="1"/>
  <c r="F607" i="2"/>
  <c r="G607" i="2" s="1"/>
  <c r="H607" i="2" s="1"/>
  <c r="F664" i="2"/>
  <c r="G664" i="2" s="1"/>
  <c r="H664" i="2" s="1"/>
  <c r="F582" i="2"/>
  <c r="G582" i="2" s="1"/>
  <c r="H582" i="2" s="1"/>
  <c r="F555" i="2"/>
  <c r="G555" i="2" s="1"/>
  <c r="H555" i="2" s="1"/>
  <c r="F528" i="2"/>
  <c r="G528" i="2" s="1"/>
  <c r="H528" i="2" s="1"/>
  <c r="F547" i="2"/>
  <c r="G547" i="2" s="1"/>
  <c r="H547" i="2" s="1"/>
  <c r="F556" i="2"/>
  <c r="G556" i="2" s="1"/>
  <c r="H556" i="2" s="1"/>
  <c r="F505" i="2"/>
  <c r="G505" i="2" s="1"/>
  <c r="H505" i="2" s="1"/>
  <c r="F570" i="2"/>
  <c r="G570" i="2" s="1"/>
  <c r="H570" i="2" s="1"/>
  <c r="F501" i="2"/>
  <c r="G501" i="2" s="1"/>
  <c r="H501" i="2" s="1"/>
  <c r="F514" i="2"/>
  <c r="G514" i="2" s="1"/>
  <c r="H514" i="2" s="1"/>
  <c r="F412" i="2"/>
  <c r="G412" i="2" s="1"/>
  <c r="H412" i="2" s="1"/>
  <c r="F450" i="2"/>
  <c r="G450" i="2" s="1"/>
  <c r="H450" i="2" s="1"/>
  <c r="F488" i="2"/>
  <c r="G488" i="2" s="1"/>
  <c r="H488" i="2" s="1"/>
  <c r="F441" i="2"/>
  <c r="G441" i="2" s="1"/>
  <c r="H441" i="2" s="1"/>
  <c r="F356" i="2"/>
  <c r="G356" i="2" s="1"/>
  <c r="H356" i="2" s="1"/>
  <c r="F322" i="2"/>
  <c r="G322" i="2" s="1"/>
  <c r="H322" i="2" s="1"/>
  <c r="F388" i="2"/>
  <c r="G388" i="2" s="1"/>
  <c r="H388" i="2" s="1"/>
  <c r="F466" i="2"/>
  <c r="G466" i="2" s="1"/>
  <c r="H466" i="2" s="1"/>
  <c r="F382" i="2"/>
  <c r="G382" i="2" s="1"/>
  <c r="H382" i="2" s="1"/>
  <c r="F443" i="2"/>
  <c r="G443" i="2" s="1"/>
  <c r="H443" i="2" s="1"/>
  <c r="F332" i="2"/>
  <c r="G332" i="2" s="1"/>
  <c r="H332" i="2" s="1"/>
  <c r="F416" i="2"/>
  <c r="G416" i="2" s="1"/>
  <c r="H416" i="2" s="1"/>
  <c r="F334" i="2"/>
  <c r="G334" i="2" s="1"/>
  <c r="H334" i="2" s="1"/>
  <c r="F453" i="2"/>
  <c r="G453" i="2" s="1"/>
  <c r="H453" i="2" s="1"/>
  <c r="F397" i="2"/>
  <c r="G397" i="2" s="1"/>
  <c r="H397" i="2" s="1"/>
  <c r="F292" i="2"/>
  <c r="G292" i="2" s="1"/>
  <c r="H292" i="2" s="1"/>
  <c r="F212" i="2"/>
  <c r="G212" i="2" s="1"/>
  <c r="H212" i="2" s="1"/>
  <c r="F318" i="2"/>
  <c r="G318" i="2" s="1"/>
  <c r="H318" i="2" s="1"/>
  <c r="F243" i="2"/>
  <c r="G243" i="2" s="1"/>
  <c r="H243" i="2" s="1"/>
  <c r="F290" i="2"/>
  <c r="G290" i="2" s="1"/>
  <c r="H290" i="2" s="1"/>
  <c r="F200" i="2"/>
  <c r="G200" i="2" s="1"/>
  <c r="H200" i="2" s="1"/>
  <c r="F289" i="2"/>
  <c r="G289" i="2" s="1"/>
  <c r="H289" i="2" s="1"/>
  <c r="F133" i="2"/>
  <c r="G133" i="2" s="1"/>
  <c r="H133" i="2" s="1"/>
  <c r="F335" i="2"/>
  <c r="G335" i="2" s="1"/>
  <c r="H335" i="2" s="1"/>
  <c r="F238" i="2"/>
  <c r="G238" i="2" s="1"/>
  <c r="H238" i="2" s="1"/>
  <c r="F331" i="2"/>
  <c r="G331" i="2" s="1"/>
  <c r="H331" i="2" s="1"/>
  <c r="F233" i="2"/>
  <c r="G233" i="2" s="1"/>
  <c r="H233" i="2" s="1"/>
  <c r="F338" i="2"/>
  <c r="G338" i="2" s="1"/>
  <c r="H338" i="2" s="1"/>
  <c r="F195" i="2"/>
  <c r="G195" i="2" s="1"/>
  <c r="H195" i="2" s="1"/>
  <c r="F163" i="2"/>
  <c r="G163" i="2" s="1"/>
  <c r="H163" i="2" s="1"/>
  <c r="F276" i="2"/>
  <c r="G276" i="2" s="1"/>
  <c r="H276" i="2" s="1"/>
  <c r="F131" i="2"/>
  <c r="G131" i="2" s="1"/>
  <c r="H131" i="2" s="1"/>
  <c r="F174" i="2"/>
  <c r="G174" i="2" s="1"/>
  <c r="H174" i="2" s="1"/>
  <c r="F140" i="2"/>
  <c r="G140" i="2" s="1"/>
  <c r="H140" i="2" s="1"/>
  <c r="F53" i="2"/>
  <c r="G53" i="2" s="1"/>
  <c r="H53" i="2" s="1"/>
  <c r="F255" i="2"/>
  <c r="G255" i="2" s="1"/>
  <c r="H255" i="2" s="1"/>
  <c r="F125" i="2"/>
  <c r="G125" i="2" s="1"/>
  <c r="H125" i="2" s="1"/>
  <c r="F320" i="2"/>
  <c r="G320" i="2" s="1"/>
  <c r="H320" i="2" s="1"/>
  <c r="F97" i="2"/>
  <c r="G97" i="2" s="1"/>
  <c r="H97" i="2" s="1"/>
  <c r="F225" i="2"/>
  <c r="G225" i="2" s="1"/>
  <c r="H225" i="2" s="1"/>
  <c r="F124" i="2"/>
  <c r="G124" i="2" s="1"/>
  <c r="H124" i="2" s="1"/>
  <c r="F74" i="2"/>
  <c r="G74" i="2" s="1"/>
  <c r="H74" i="2" s="1"/>
  <c r="F252" i="2"/>
  <c r="G252" i="2" s="1"/>
  <c r="H252" i="2" s="1"/>
  <c r="F138" i="2"/>
  <c r="G138" i="2" s="1"/>
  <c r="H138" i="2" s="1"/>
  <c r="F31" i="2"/>
  <c r="G31" i="2" s="1"/>
  <c r="H31" i="2" s="1"/>
  <c r="F42" i="2"/>
  <c r="G42" i="2" s="1"/>
  <c r="H42" i="2" s="1"/>
  <c r="F13" i="2"/>
  <c r="G13" i="2" s="1"/>
  <c r="H13" i="2" s="1"/>
  <c r="F75" i="2"/>
  <c r="G75" i="2" s="1"/>
  <c r="H75" i="2" s="1"/>
  <c r="F24" i="2"/>
  <c r="G24" i="2" s="1"/>
  <c r="H24" i="2" s="1"/>
  <c r="F54" i="2"/>
  <c r="G54" i="2" s="1"/>
  <c r="H54" i="2" s="1"/>
  <c r="F419" i="2"/>
  <c r="G419" i="2" s="1"/>
  <c r="H419" i="2" s="1"/>
  <c r="F498" i="2"/>
  <c r="G498" i="2" s="1"/>
  <c r="H498" i="2" s="1"/>
  <c r="F536" i="2"/>
  <c r="G536" i="2" s="1"/>
  <c r="H536" i="2" s="1"/>
  <c r="F215" i="2"/>
  <c r="G215" i="2" s="1"/>
  <c r="H215" i="2" s="1"/>
  <c r="F209" i="2"/>
  <c r="G209" i="2" s="1"/>
  <c r="H209" i="2" s="1"/>
  <c r="F232" i="2"/>
  <c r="G232" i="2" s="1"/>
  <c r="H232" i="2" s="1"/>
  <c r="F182" i="2"/>
  <c r="G182" i="2" s="1"/>
  <c r="H182" i="2" s="1"/>
  <c r="F430" i="2"/>
  <c r="G430" i="2" s="1"/>
  <c r="H430" i="2" s="1"/>
  <c r="F564" i="2"/>
  <c r="G564" i="2" s="1"/>
  <c r="H564" i="2" s="1"/>
  <c r="F59" i="2"/>
  <c r="G59" i="2" s="1"/>
  <c r="H59" i="2" s="1"/>
  <c r="F625" i="2"/>
  <c r="G625" i="2" s="1"/>
  <c r="H625" i="2" s="1"/>
  <c r="F396" i="2"/>
  <c r="G396" i="2" s="1"/>
  <c r="H396" i="2" s="1"/>
  <c r="F242" i="2"/>
  <c r="G242" i="2" s="1"/>
  <c r="H242" i="2" s="1"/>
  <c r="F379" i="2"/>
  <c r="G379" i="2" s="1"/>
  <c r="H379" i="2" s="1"/>
  <c r="F282" i="2"/>
  <c r="G282" i="2" s="1"/>
  <c r="H282" i="2" s="1"/>
  <c r="F164" i="2"/>
  <c r="G164" i="2" s="1"/>
  <c r="H164" i="2" s="1"/>
  <c r="F17" i="2"/>
  <c r="G17" i="2" s="1"/>
  <c r="H17" i="2" s="1"/>
  <c r="F598" i="2"/>
  <c r="G598" i="2" s="1"/>
  <c r="H598" i="2" s="1"/>
  <c r="F599" i="2"/>
  <c r="G599" i="2" s="1"/>
  <c r="H599" i="2" s="1"/>
  <c r="F433" i="2"/>
  <c r="G433" i="2" s="1"/>
  <c r="H433" i="2" s="1"/>
  <c r="F485" i="2"/>
  <c r="G485" i="2" s="1"/>
  <c r="H485" i="2" s="1"/>
  <c r="F316" i="2"/>
  <c r="G316" i="2" s="1"/>
  <c r="H316" i="2" s="1"/>
  <c r="F277" i="2"/>
  <c r="G277" i="2" s="1"/>
  <c r="H277" i="2" s="1"/>
  <c r="F296" i="2"/>
  <c r="G296" i="2" s="1"/>
  <c r="H296" i="2" s="1"/>
  <c r="F637" i="2"/>
  <c r="G637" i="2" s="1"/>
  <c r="H637" i="2" s="1"/>
  <c r="F543" i="2"/>
  <c r="G543" i="2" s="1"/>
  <c r="H543" i="2" s="1"/>
  <c r="F522" i="2"/>
  <c r="G522" i="2" s="1"/>
  <c r="H522" i="2" s="1"/>
  <c r="F425" i="2"/>
  <c r="G425" i="2" s="1"/>
  <c r="H425" i="2" s="1"/>
  <c r="F391" i="2"/>
  <c r="G391" i="2" s="1"/>
  <c r="H391" i="2" s="1"/>
  <c r="F465" i="2"/>
  <c r="G465" i="2" s="1"/>
  <c r="H465" i="2" s="1"/>
  <c r="F267" i="2"/>
  <c r="G267" i="2" s="1"/>
  <c r="H267" i="2" s="1"/>
  <c r="F227" i="2"/>
  <c r="G227" i="2" s="1"/>
  <c r="H227" i="2" s="1"/>
  <c r="F269" i="2"/>
  <c r="G269" i="2" s="1"/>
  <c r="H269" i="2" s="1"/>
  <c r="F193" i="2"/>
  <c r="G193" i="2" s="1"/>
  <c r="H193" i="2" s="1"/>
  <c r="F156" i="2"/>
  <c r="G156" i="2" s="1"/>
  <c r="H156" i="2" s="1"/>
  <c r="F240" i="2"/>
  <c r="G240" i="2" s="1"/>
  <c r="H240" i="2" s="1"/>
  <c r="F104" i="2"/>
  <c r="G104" i="2" s="1"/>
  <c r="H104" i="2" s="1"/>
  <c r="F120" i="2"/>
  <c r="G120" i="2" s="1"/>
  <c r="H120" i="2" s="1"/>
  <c r="F551" i="2"/>
  <c r="G551" i="2" s="1"/>
  <c r="H551" i="2" s="1"/>
  <c r="F632" i="2"/>
  <c r="G632" i="2" s="1"/>
  <c r="H632" i="2" s="1"/>
  <c r="F654" i="2"/>
  <c r="G654" i="2" s="1"/>
  <c r="H654" i="2" s="1"/>
  <c r="F596" i="2"/>
  <c r="G596" i="2" s="1"/>
  <c r="H596" i="2" s="1"/>
  <c r="F609" i="2"/>
  <c r="G609" i="2" s="1"/>
  <c r="H609" i="2" s="1"/>
  <c r="F502" i="2"/>
  <c r="G502" i="2" s="1"/>
  <c r="H502" i="2" s="1"/>
  <c r="F508" i="2"/>
  <c r="G508" i="2" s="1"/>
  <c r="H508" i="2" s="1"/>
  <c r="F384" i="2"/>
  <c r="G384" i="2" s="1"/>
  <c r="H384" i="2" s="1"/>
  <c r="F517" i="2"/>
  <c r="G517" i="2" s="1"/>
  <c r="H517" i="2" s="1"/>
  <c r="F381" i="2"/>
  <c r="G381" i="2" s="1"/>
  <c r="H381" i="2" s="1"/>
  <c r="F461" i="2"/>
  <c r="G461" i="2" s="1"/>
  <c r="H461" i="2" s="1"/>
  <c r="F244" i="2"/>
  <c r="G244" i="2" s="1"/>
  <c r="H244" i="2" s="1"/>
  <c r="F323" i="2"/>
  <c r="G323" i="2" s="1"/>
  <c r="H323" i="2" s="1"/>
  <c r="F196" i="2"/>
  <c r="G196" i="2" s="1"/>
  <c r="H196" i="2" s="1"/>
  <c r="F251" i="2"/>
  <c r="G251" i="2" s="1"/>
  <c r="H251" i="2" s="1"/>
  <c r="F471" i="2"/>
  <c r="G471" i="2" s="1"/>
  <c r="H471" i="2" s="1"/>
  <c r="F73" i="2"/>
  <c r="G73" i="2" s="1"/>
  <c r="H73" i="2" s="1"/>
  <c r="F21" i="2"/>
  <c r="G21" i="2" s="1"/>
  <c r="H21" i="2" s="1"/>
  <c r="F57" i="2"/>
  <c r="G57" i="2" s="1"/>
  <c r="H57" i="2" s="1"/>
  <c r="F158" i="2"/>
  <c r="G158" i="2" s="1"/>
  <c r="H158" i="2" s="1"/>
  <c r="F143" i="2"/>
  <c r="G143" i="2" s="1"/>
  <c r="H143" i="2" s="1"/>
  <c r="F364" i="2"/>
  <c r="G364" i="2" s="1"/>
  <c r="H364" i="2" s="1"/>
  <c r="F67" i="2"/>
  <c r="G67" i="2" s="1"/>
  <c r="H67" i="2" s="1"/>
  <c r="F46" i="2"/>
  <c r="G46" i="2" s="1"/>
  <c r="H46" i="2" s="1"/>
  <c r="F5" i="2"/>
  <c r="G5" i="2" s="1"/>
  <c r="H5" i="2" s="1"/>
  <c r="F565" i="2"/>
  <c r="G565" i="2" s="1"/>
  <c r="H565" i="2" s="1"/>
  <c r="F562" i="2"/>
  <c r="G562" i="2" s="1"/>
  <c r="H562" i="2" s="1"/>
  <c r="F218" i="2"/>
  <c r="G218" i="2" s="1"/>
  <c r="H218" i="2" s="1"/>
  <c r="F376" i="2"/>
  <c r="G376" i="2" s="1"/>
  <c r="H376" i="2" s="1"/>
  <c r="F70" i="2"/>
  <c r="G70" i="2" s="1"/>
  <c r="H70" i="2" s="1"/>
  <c r="F645" i="2"/>
  <c r="G645" i="2" s="1"/>
  <c r="H645" i="2" s="1"/>
  <c r="F638" i="2"/>
  <c r="G638" i="2" s="1"/>
  <c r="H638" i="2" s="1"/>
  <c r="F588" i="2"/>
  <c r="G588" i="2" s="1"/>
  <c r="H588" i="2" s="1"/>
  <c r="F545" i="2"/>
  <c r="G545" i="2" s="1"/>
  <c r="H545" i="2" s="1"/>
  <c r="F561" i="2"/>
  <c r="G561" i="2" s="1"/>
  <c r="H561" i="2" s="1"/>
  <c r="F640" i="2"/>
  <c r="G640" i="2" s="1"/>
  <c r="H640" i="2" s="1"/>
  <c r="F519" i="2"/>
  <c r="G519" i="2" s="1"/>
  <c r="H519" i="2" s="1"/>
  <c r="F480" i="2"/>
  <c r="G480" i="2" s="1"/>
  <c r="H480" i="2" s="1"/>
  <c r="F449" i="2"/>
  <c r="G449" i="2" s="1"/>
  <c r="H449" i="2" s="1"/>
  <c r="F328" i="2"/>
  <c r="G328" i="2" s="1"/>
  <c r="H328" i="2" s="1"/>
  <c r="F482" i="2"/>
  <c r="G482" i="2" s="1"/>
  <c r="H482" i="2" s="1"/>
  <c r="F458" i="2"/>
  <c r="G458" i="2" s="1"/>
  <c r="H458" i="2" s="1"/>
  <c r="F423" i="2"/>
  <c r="G423" i="2" s="1"/>
  <c r="H423" i="2" s="1"/>
  <c r="F457" i="2"/>
  <c r="G457" i="2" s="1"/>
  <c r="H457" i="2" s="1"/>
  <c r="F303" i="2"/>
  <c r="G303" i="2" s="1"/>
  <c r="H303" i="2" s="1"/>
  <c r="F329" i="2"/>
  <c r="G329" i="2" s="1"/>
  <c r="H329" i="2" s="1"/>
  <c r="F317" i="2"/>
  <c r="G317" i="2" s="1"/>
  <c r="H317" i="2" s="1"/>
  <c r="F298" i="2"/>
  <c r="G298" i="2" s="1"/>
  <c r="H298" i="2" s="1"/>
  <c r="F361" i="2"/>
  <c r="G361" i="2" s="1"/>
  <c r="H361" i="2" s="1"/>
  <c r="F339" i="2"/>
  <c r="G339" i="2" s="1"/>
  <c r="H339" i="2" s="1"/>
  <c r="F343" i="2"/>
  <c r="G343" i="2" s="1"/>
  <c r="H343" i="2" s="1"/>
  <c r="F173" i="2"/>
  <c r="G173" i="2" s="1"/>
  <c r="H173" i="2" s="1"/>
  <c r="F136" i="2"/>
  <c r="G136" i="2" s="1"/>
  <c r="H136" i="2" s="1"/>
  <c r="F144" i="2"/>
  <c r="G144" i="2" s="1"/>
  <c r="H144" i="2" s="1"/>
  <c r="F314" i="2"/>
  <c r="G314" i="2" s="1"/>
  <c r="H314" i="2" s="1"/>
  <c r="F127" i="2"/>
  <c r="G127" i="2" s="1"/>
  <c r="H127" i="2" s="1"/>
  <c r="F199" i="2"/>
  <c r="G199" i="2" s="1"/>
  <c r="H199" i="2" s="1"/>
  <c r="F77" i="2"/>
  <c r="G77" i="2" s="1"/>
  <c r="H77" i="2" s="1"/>
  <c r="F147" i="2"/>
  <c r="G147" i="2" s="1"/>
  <c r="H147" i="2" s="1"/>
  <c r="F60" i="2"/>
  <c r="G60" i="2" s="1"/>
  <c r="H60" i="2" s="1"/>
  <c r="F89" i="2"/>
  <c r="G89" i="2" s="1"/>
  <c r="H89" i="2" s="1"/>
  <c r="F61" i="2"/>
  <c r="G61" i="2" s="1"/>
  <c r="H61" i="2" s="1"/>
  <c r="F435" i="2"/>
  <c r="G435" i="2" s="1"/>
  <c r="H435" i="2" s="1"/>
  <c r="F468" i="2"/>
  <c r="G468" i="2" s="1"/>
  <c r="H468" i="2" s="1"/>
  <c r="F633" i="2"/>
  <c r="G633" i="2" s="1"/>
  <c r="H633" i="2" s="1"/>
  <c r="F422" i="2"/>
  <c r="G422" i="2" s="1"/>
  <c r="H422" i="2" s="1"/>
  <c r="F38" i="2"/>
  <c r="G38" i="2" s="1"/>
  <c r="H38" i="2" s="1"/>
  <c r="F661" i="2"/>
  <c r="G661" i="2" s="1"/>
  <c r="H661" i="2" s="1"/>
  <c r="F660" i="2"/>
  <c r="G660" i="2" s="1"/>
  <c r="H660" i="2" s="1"/>
  <c r="F613" i="2"/>
  <c r="G613" i="2" s="1"/>
  <c r="H613" i="2" s="1"/>
  <c r="F623" i="2"/>
  <c r="G623" i="2" s="1"/>
  <c r="H623" i="2" s="1"/>
  <c r="F593" i="2"/>
  <c r="G593" i="2" s="1"/>
  <c r="H593" i="2" s="1"/>
  <c r="F648" i="2"/>
  <c r="G648" i="2" s="1"/>
  <c r="H648" i="2" s="1"/>
  <c r="F571" i="2"/>
  <c r="G571" i="2" s="1"/>
  <c r="H571" i="2" s="1"/>
  <c r="F662" i="2"/>
  <c r="G662" i="2" s="1"/>
  <c r="H662" i="2" s="1"/>
  <c r="F597" i="2"/>
  <c r="G597" i="2" s="1"/>
  <c r="H597" i="2" s="1"/>
  <c r="F544" i="2"/>
  <c r="G544" i="2" s="1"/>
  <c r="H544" i="2" s="1"/>
  <c r="F595" i="2"/>
  <c r="G595" i="2" s="1"/>
  <c r="H595" i="2" s="1"/>
  <c r="F499" i="2"/>
  <c r="G499" i="2" s="1"/>
  <c r="H499" i="2" s="1"/>
  <c r="F566" i="2"/>
  <c r="G566" i="2" s="1"/>
  <c r="H566" i="2" s="1"/>
  <c r="F478" i="2"/>
  <c r="G478" i="2" s="1"/>
  <c r="H478" i="2" s="1"/>
  <c r="F509" i="2"/>
  <c r="G509" i="2" s="1"/>
  <c r="H509" i="2" s="1"/>
  <c r="F407" i="2"/>
  <c r="G407" i="2" s="1"/>
  <c r="H407" i="2" s="1"/>
  <c r="F434" i="2"/>
  <c r="G434" i="2" s="1"/>
  <c r="H434" i="2" s="1"/>
  <c r="F620" i="2"/>
  <c r="G620" i="2" s="1"/>
  <c r="H620" i="2" s="1"/>
  <c r="F437" i="2"/>
  <c r="G437" i="2" s="1"/>
  <c r="H437" i="2" s="1"/>
  <c r="F455" i="2"/>
  <c r="G455" i="2" s="1"/>
  <c r="H455" i="2" s="1"/>
  <c r="F512" i="2"/>
  <c r="G512" i="2" s="1"/>
  <c r="H512" i="2" s="1"/>
  <c r="F373" i="2"/>
  <c r="G373" i="2" s="1"/>
  <c r="H373" i="2" s="1"/>
  <c r="F447" i="2"/>
  <c r="G447" i="2" s="1"/>
  <c r="H447" i="2" s="1"/>
  <c r="F363" i="2"/>
  <c r="G363" i="2" s="1"/>
  <c r="H363" i="2" s="1"/>
  <c r="F420" i="2"/>
  <c r="G420" i="2" s="1"/>
  <c r="H420" i="2" s="1"/>
  <c r="F321" i="2"/>
  <c r="G321" i="2" s="1"/>
  <c r="H321" i="2" s="1"/>
  <c r="F405" i="2"/>
  <c r="G405" i="2" s="1"/>
  <c r="H405" i="2" s="1"/>
  <c r="F304" i="2"/>
  <c r="G304" i="2" s="1"/>
  <c r="H304" i="2" s="1"/>
  <c r="F442" i="2"/>
  <c r="G442" i="2" s="1"/>
  <c r="H442" i="2" s="1"/>
  <c r="F375" i="2"/>
  <c r="G375" i="2" s="1"/>
  <c r="H375" i="2" s="1"/>
  <c r="F286" i="2"/>
  <c r="G286" i="2" s="1"/>
  <c r="H286" i="2" s="1"/>
  <c r="F194" i="2"/>
  <c r="G194" i="2" s="1"/>
  <c r="H194" i="2" s="1"/>
  <c r="F307" i="2"/>
  <c r="G307" i="2" s="1"/>
  <c r="H307" i="2" s="1"/>
  <c r="F239" i="2"/>
  <c r="G239" i="2" s="1"/>
  <c r="H239" i="2" s="1"/>
  <c r="F285" i="2"/>
  <c r="G285" i="2" s="1"/>
  <c r="H285" i="2" s="1"/>
  <c r="F350" i="2"/>
  <c r="G350" i="2" s="1"/>
  <c r="H350" i="2" s="1"/>
  <c r="F279" i="2"/>
  <c r="G279" i="2" s="1"/>
  <c r="H279" i="2" s="1"/>
  <c r="F126" i="2"/>
  <c r="G126" i="2" s="1"/>
  <c r="H126" i="2" s="1"/>
  <c r="F315" i="2"/>
  <c r="G315" i="2" s="1"/>
  <c r="H315" i="2" s="1"/>
  <c r="F234" i="2"/>
  <c r="G234" i="2" s="1"/>
  <c r="H234" i="2" s="1"/>
  <c r="F326" i="2"/>
  <c r="G326" i="2" s="1"/>
  <c r="H326" i="2" s="1"/>
  <c r="F226" i="2"/>
  <c r="G226" i="2" s="1"/>
  <c r="H226" i="2" s="1"/>
  <c r="F309" i="2"/>
  <c r="G309" i="2" s="1"/>
  <c r="H309" i="2" s="1"/>
  <c r="F229" i="2"/>
  <c r="G229" i="2" s="1"/>
  <c r="H229" i="2" s="1"/>
  <c r="F146" i="2"/>
  <c r="G146" i="2" s="1"/>
  <c r="H146" i="2" s="1"/>
  <c r="F249" i="2"/>
  <c r="G249" i="2" s="1"/>
  <c r="H249" i="2" s="1"/>
  <c r="F122" i="2"/>
  <c r="G122" i="2" s="1"/>
  <c r="H122" i="2" s="1"/>
  <c r="F294" i="2"/>
  <c r="G294" i="2" s="1"/>
  <c r="H294" i="2" s="1"/>
  <c r="F135" i="2"/>
  <c r="G135" i="2" s="1"/>
  <c r="H135" i="2" s="1"/>
  <c r="F202" i="2"/>
  <c r="G202" i="2" s="1"/>
  <c r="H202" i="2" s="1"/>
  <c r="F117" i="2"/>
  <c r="G117" i="2" s="1"/>
  <c r="H117" i="2" s="1"/>
  <c r="F302" i="2"/>
  <c r="G302" i="2" s="1"/>
  <c r="H302" i="2" s="1"/>
  <c r="F93" i="2"/>
  <c r="G93" i="2" s="1"/>
  <c r="H93" i="2" s="1"/>
  <c r="F219" i="2"/>
  <c r="G219" i="2" s="1"/>
  <c r="H219" i="2" s="1"/>
  <c r="F119" i="2"/>
  <c r="G119" i="2" s="1"/>
  <c r="H119" i="2" s="1"/>
  <c r="F71" i="2"/>
  <c r="G71" i="2" s="1"/>
  <c r="H71" i="2" s="1"/>
  <c r="F236" i="2"/>
  <c r="G236" i="2" s="1"/>
  <c r="H236" i="2" s="1"/>
  <c r="F128" i="2"/>
  <c r="G128" i="2" s="1"/>
  <c r="H128" i="2" s="1"/>
  <c r="F29" i="2"/>
  <c r="G29" i="2" s="1"/>
  <c r="H29" i="2" s="1"/>
  <c r="F33" i="2"/>
  <c r="G33" i="2" s="1"/>
  <c r="H33" i="2" s="1"/>
  <c r="F7" i="2"/>
  <c r="G7" i="2" s="1"/>
  <c r="H7" i="2" s="1"/>
  <c r="F69" i="2"/>
  <c r="G69" i="2" s="1"/>
  <c r="H69" i="2" s="1"/>
  <c r="F11" i="2"/>
  <c r="G11" i="2" s="1"/>
  <c r="H11" i="2" s="1"/>
  <c r="F43" i="2"/>
  <c r="G43" i="2" s="1"/>
  <c r="H43" i="2" s="1"/>
  <c r="F532" i="2"/>
  <c r="G532" i="2" s="1"/>
  <c r="H532" i="2" s="1"/>
  <c r="F403" i="2"/>
  <c r="G403" i="2" s="1"/>
  <c r="H403" i="2" s="1"/>
  <c r="F617" i="2"/>
  <c r="G617" i="2" s="1"/>
  <c r="H617" i="2" s="1"/>
  <c r="F572" i="2"/>
  <c r="G572" i="2" s="1"/>
  <c r="H572" i="2" s="1"/>
  <c r="F55" i="2"/>
  <c r="G55" i="2" s="1"/>
  <c r="H55" i="2" s="1"/>
  <c r="F487" i="2"/>
  <c r="G487" i="2" s="1"/>
  <c r="H487" i="2" s="1"/>
  <c r="F167" i="2"/>
  <c r="G167" i="2" s="1"/>
  <c r="H167" i="2" s="1"/>
  <c r="F62" i="2"/>
  <c r="G62" i="2" s="1"/>
  <c r="H62" i="2" s="1"/>
  <c r="F118" i="2"/>
  <c r="G118" i="2" s="1"/>
  <c r="H118" i="2" s="1"/>
  <c r="F548" i="2"/>
  <c r="G548" i="2" s="1"/>
  <c r="H548" i="2" s="1"/>
  <c r="F41" i="2"/>
  <c r="G41" i="2" s="1"/>
  <c r="H41" i="2" s="1"/>
  <c r="F651" i="2"/>
  <c r="G651" i="2" s="1"/>
  <c r="H651" i="2" s="1"/>
  <c r="F567" i="2"/>
  <c r="G567" i="2" s="1"/>
  <c r="H567" i="2" s="1"/>
  <c r="F429" i="2"/>
  <c r="G429" i="2" s="1"/>
  <c r="H429" i="2" s="1"/>
  <c r="F542" i="2"/>
  <c r="G542" i="2" s="1"/>
  <c r="H542" i="2" s="1"/>
  <c r="F340" i="2"/>
  <c r="G340" i="2" s="1"/>
  <c r="H340" i="2" s="1"/>
  <c r="F204" i="2"/>
  <c r="G204" i="2" s="1"/>
  <c r="H204" i="2" s="1"/>
  <c r="F65" i="2"/>
  <c r="G65" i="2" s="1"/>
  <c r="H65" i="2" s="1"/>
  <c r="F107" i="2"/>
  <c r="G107" i="2" s="1"/>
  <c r="H107" i="2" s="1"/>
  <c r="F611" i="2"/>
  <c r="G611" i="2" s="1"/>
  <c r="H611" i="2" s="1"/>
  <c r="F529" i="2"/>
  <c r="G529" i="2" s="1"/>
  <c r="H529" i="2" s="1"/>
  <c r="F400" i="2"/>
  <c r="G400" i="2" s="1"/>
  <c r="H400" i="2" s="1"/>
  <c r="F481" i="2"/>
  <c r="G481" i="2" s="1"/>
  <c r="H481" i="2" s="1"/>
  <c r="F280" i="2"/>
  <c r="G280" i="2" s="1"/>
  <c r="H280" i="2" s="1"/>
  <c r="F278" i="2"/>
  <c r="G278" i="2" s="1"/>
  <c r="H278" i="2" s="1"/>
  <c r="F220" i="2"/>
  <c r="G220" i="2" s="1"/>
  <c r="H220" i="2" s="1"/>
  <c r="F653" i="2"/>
  <c r="G653" i="2" s="1"/>
  <c r="H653" i="2" s="1"/>
  <c r="F577" i="2"/>
  <c r="G577" i="2" s="1"/>
  <c r="H577" i="2" s="1"/>
  <c r="F506" i="2"/>
  <c r="G506" i="2" s="1"/>
  <c r="H506" i="2" s="1"/>
  <c r="F383" i="2"/>
  <c r="G383" i="2" s="1"/>
  <c r="H383" i="2" s="1"/>
  <c r="F476" i="2"/>
  <c r="G476" i="2" s="1"/>
  <c r="H476" i="2" s="1"/>
  <c r="F357" i="2"/>
  <c r="G357" i="2" s="1"/>
  <c r="H357" i="2" s="1"/>
  <c r="F346" i="2"/>
  <c r="G346" i="2" s="1"/>
  <c r="H346" i="2" s="1"/>
  <c r="F385" i="2"/>
  <c r="G385" i="2" s="1"/>
  <c r="H385" i="2" s="1"/>
  <c r="F162" i="2"/>
  <c r="G162" i="2" s="1"/>
  <c r="H162" i="2" s="1"/>
  <c r="F149" i="2"/>
  <c r="G149" i="2" s="1"/>
  <c r="H149" i="2" s="1"/>
  <c r="F101" i="2"/>
  <c r="G101" i="2" s="1"/>
  <c r="H101" i="2" s="1"/>
  <c r="F201" i="2"/>
  <c r="G201" i="2" s="1"/>
  <c r="H201" i="2" s="1"/>
  <c r="F151" i="2"/>
  <c r="G151" i="2" s="1"/>
  <c r="H151" i="2" s="1"/>
  <c r="F87" i="2"/>
  <c r="G87" i="2" s="1"/>
  <c r="H87" i="2" s="1"/>
  <c r="F490" i="2"/>
  <c r="G490" i="2" s="1"/>
  <c r="H490" i="2" s="1"/>
  <c r="F656" i="2"/>
  <c r="G656" i="2" s="1"/>
  <c r="H656" i="2" s="1"/>
  <c r="F592" i="2"/>
  <c r="G592" i="2" s="1"/>
  <c r="H592" i="2" s="1"/>
  <c r="F581" i="2"/>
  <c r="G581" i="2" s="1"/>
  <c r="H581" i="2" s="1"/>
  <c r="F574" i="2"/>
  <c r="G574" i="2" s="1"/>
  <c r="H574" i="2" s="1"/>
  <c r="F444" i="2"/>
  <c r="G444" i="2" s="1"/>
  <c r="H444" i="2" s="1"/>
  <c r="F452" i="2"/>
  <c r="G452" i="2" s="1"/>
  <c r="H452" i="2" s="1"/>
  <c r="F421" i="2"/>
  <c r="G421" i="2" s="1"/>
  <c r="H421" i="2" s="1"/>
  <c r="F462" i="2"/>
  <c r="G462" i="2" s="1"/>
  <c r="H462" i="2" s="1"/>
  <c r="F351" i="2"/>
  <c r="G351" i="2" s="1"/>
  <c r="H351" i="2" s="1"/>
  <c r="F308" i="2"/>
  <c r="G308" i="2" s="1"/>
  <c r="H308" i="2" s="1"/>
  <c r="F263" i="2"/>
  <c r="G263" i="2" s="1"/>
  <c r="H263" i="2" s="1"/>
  <c r="F306" i="2"/>
  <c r="G306" i="2" s="1"/>
  <c r="H306" i="2" s="1"/>
  <c r="F349" i="2"/>
  <c r="G349" i="2" s="1"/>
  <c r="H349" i="2" s="1"/>
  <c r="F187" i="2"/>
  <c r="G187" i="2" s="1"/>
  <c r="H187" i="2" s="1"/>
  <c r="F152" i="2"/>
  <c r="G152" i="2" s="1"/>
  <c r="H152" i="2" s="1"/>
  <c r="F39" i="2"/>
  <c r="G39" i="2" s="1"/>
  <c r="H39" i="2" s="1"/>
  <c r="F446" i="2"/>
  <c r="G446" i="2" s="1"/>
  <c r="H446" i="2" s="1"/>
  <c r="F655" i="2"/>
  <c r="G655" i="2" s="1"/>
  <c r="H655" i="2" s="1"/>
  <c r="F619" i="2"/>
  <c r="G619" i="2" s="1"/>
  <c r="H619" i="2" s="1"/>
  <c r="F608" i="2"/>
  <c r="G608" i="2" s="1"/>
  <c r="H608" i="2" s="1"/>
  <c r="F616" i="2"/>
  <c r="G616" i="2" s="1"/>
  <c r="H616" i="2" s="1"/>
  <c r="F589" i="2"/>
  <c r="G589" i="2" s="1"/>
  <c r="H589" i="2" s="1"/>
  <c r="F642" i="2"/>
  <c r="G642" i="2" s="1"/>
  <c r="H642" i="2" s="1"/>
  <c r="F647" i="2"/>
  <c r="G647" i="2" s="1"/>
  <c r="H647" i="2" s="1"/>
  <c r="F641" i="2"/>
  <c r="G641" i="2" s="1"/>
  <c r="H641" i="2" s="1"/>
  <c r="F576" i="2"/>
  <c r="G576" i="2" s="1"/>
  <c r="H576" i="2" s="1"/>
  <c r="F541" i="2"/>
  <c r="G541" i="2" s="1"/>
  <c r="H541" i="2" s="1"/>
  <c r="F584" i="2"/>
  <c r="G584" i="2" s="1"/>
  <c r="H584" i="2" s="1"/>
  <c r="F497" i="2"/>
  <c r="G497" i="2" s="1"/>
  <c r="H497" i="2" s="1"/>
  <c r="F563" i="2"/>
  <c r="G563" i="2" s="1"/>
  <c r="H563" i="2" s="1"/>
  <c r="F475" i="2"/>
  <c r="G475" i="2" s="1"/>
  <c r="H475" i="2" s="1"/>
  <c r="F500" i="2"/>
  <c r="G500" i="2" s="1"/>
  <c r="H500" i="2" s="1"/>
  <c r="F399" i="2"/>
  <c r="G399" i="2" s="1"/>
  <c r="H399" i="2" s="1"/>
  <c r="F418" i="2"/>
  <c r="G418" i="2" s="1"/>
  <c r="H418" i="2" s="1"/>
  <c r="F605" i="2"/>
  <c r="G605" i="2" s="1"/>
  <c r="H605" i="2" s="1"/>
  <c r="F426" i="2"/>
  <c r="G426" i="2" s="1"/>
  <c r="H426" i="2" s="1"/>
  <c r="F448" i="2"/>
  <c r="G448" i="2" s="1"/>
  <c r="H448" i="2" s="1"/>
  <c r="F463" i="2"/>
  <c r="G463" i="2" s="1"/>
  <c r="H463" i="2" s="1"/>
  <c r="F366" i="2"/>
  <c r="G366" i="2" s="1"/>
  <c r="H366" i="2" s="1"/>
  <c r="F439" i="2"/>
  <c r="G439" i="2" s="1"/>
  <c r="H439" i="2" s="1"/>
  <c r="F327" i="2"/>
  <c r="G327" i="2" s="1"/>
  <c r="H327" i="2" s="1"/>
  <c r="F417" i="2"/>
  <c r="G417" i="2" s="1"/>
  <c r="H417" i="2" s="1"/>
  <c r="F538" i="2"/>
  <c r="G538" i="2" s="1"/>
  <c r="H538" i="2" s="1"/>
  <c r="F386" i="2"/>
  <c r="G386" i="2" s="1"/>
  <c r="H386" i="2" s="1"/>
  <c r="F284" i="2"/>
  <c r="G284" i="2" s="1"/>
  <c r="H284" i="2" s="1"/>
  <c r="F427" i="2"/>
  <c r="G427" i="2" s="1"/>
  <c r="H427" i="2" s="1"/>
  <c r="F371" i="2"/>
  <c r="G371" i="2" s="1"/>
  <c r="H371" i="2" s="1"/>
  <c r="F281" i="2"/>
  <c r="G281" i="2" s="1"/>
  <c r="H281" i="2" s="1"/>
  <c r="F415" i="2"/>
  <c r="G415" i="2" s="1"/>
  <c r="H415" i="2" s="1"/>
  <c r="F299" i="2"/>
  <c r="G299" i="2" s="1"/>
  <c r="H299" i="2" s="1"/>
  <c r="F180" i="2"/>
  <c r="G180" i="2" s="1"/>
  <c r="H180" i="2" s="1"/>
  <c r="F274" i="2"/>
  <c r="G274" i="2" s="1"/>
  <c r="H274" i="2" s="1"/>
  <c r="F345" i="2"/>
  <c r="G345" i="2" s="1"/>
  <c r="H345" i="2" s="1"/>
  <c r="F270" i="2"/>
  <c r="G270" i="2" s="1"/>
  <c r="H270" i="2" s="1"/>
  <c r="F106" i="2"/>
  <c r="G106" i="2" s="1"/>
  <c r="H106" i="2" s="1"/>
  <c r="F311" i="2"/>
  <c r="G311" i="2" s="1"/>
  <c r="H311" i="2" s="1"/>
  <c r="F230" i="2"/>
  <c r="G230" i="2" s="1"/>
  <c r="H230" i="2" s="1"/>
  <c r="F310" i="2"/>
  <c r="G310" i="2" s="1"/>
  <c r="H310" i="2" s="1"/>
  <c r="F210" i="2"/>
  <c r="G210" i="2" s="1"/>
  <c r="H210" i="2" s="1"/>
  <c r="F297" i="2"/>
  <c r="G297" i="2" s="1"/>
  <c r="H297" i="2" s="1"/>
  <c r="F217" i="2"/>
  <c r="G217" i="2" s="1"/>
  <c r="H217" i="2" s="1"/>
  <c r="F141" i="2"/>
  <c r="G141" i="2" s="1"/>
  <c r="H141" i="2" s="1"/>
  <c r="F216" i="2"/>
  <c r="G216" i="2" s="1"/>
  <c r="H216" i="2" s="1"/>
  <c r="F114" i="2"/>
  <c r="G114" i="2" s="1"/>
  <c r="H114" i="2" s="1"/>
  <c r="F222" i="2"/>
  <c r="G222" i="2" s="1"/>
  <c r="H222" i="2" s="1"/>
  <c r="F121" i="2"/>
  <c r="G121" i="2" s="1"/>
  <c r="H121" i="2" s="1"/>
  <c r="F489" i="2"/>
  <c r="G489" i="2" s="1"/>
  <c r="H489" i="2" s="1"/>
  <c r="F185" i="2"/>
  <c r="G185" i="2" s="1"/>
  <c r="H185" i="2" s="1"/>
  <c r="F109" i="2"/>
  <c r="G109" i="2" s="1"/>
  <c r="H109" i="2" s="1"/>
  <c r="F287" i="2"/>
  <c r="G287" i="2" s="1"/>
  <c r="H287" i="2" s="1"/>
  <c r="F85" i="2"/>
  <c r="G85" i="2" s="1"/>
  <c r="H85" i="2" s="1"/>
  <c r="F184" i="2"/>
  <c r="G184" i="2" s="1"/>
  <c r="H184" i="2" s="1"/>
  <c r="F116" i="2"/>
  <c r="G116" i="2" s="1"/>
  <c r="H116" i="2" s="1"/>
  <c r="F64" i="2"/>
  <c r="G64" i="2" s="1"/>
  <c r="H64" i="2" s="1"/>
  <c r="F231" i="2"/>
  <c r="G231" i="2" s="1"/>
  <c r="H231" i="2" s="1"/>
  <c r="F115" i="2"/>
  <c r="G115" i="2" s="1"/>
  <c r="H115" i="2" s="1"/>
  <c r="F14" i="2"/>
  <c r="G14" i="2" s="1"/>
  <c r="H14" i="2" s="1"/>
  <c r="F22" i="2"/>
  <c r="G22" i="2" s="1"/>
  <c r="H22" i="2" s="1"/>
  <c r="F90" i="2"/>
  <c r="G90" i="2" s="1"/>
  <c r="H90" i="2" s="1"/>
  <c r="F36" i="2"/>
  <c r="G36" i="2" s="1"/>
  <c r="H36" i="2" s="1"/>
  <c r="F98" i="2"/>
  <c r="G98" i="2" s="1"/>
  <c r="H98" i="2" s="1"/>
  <c r="F34" i="2"/>
  <c r="G34" i="2" s="1"/>
  <c r="H34" i="2" s="1"/>
  <c r="F300" i="2"/>
  <c r="G300" i="2" s="1"/>
  <c r="H300" i="2" s="1"/>
  <c r="F634" i="2"/>
  <c r="G634" i="2" s="1"/>
  <c r="H634" i="2" s="1"/>
  <c r="F440" i="2"/>
  <c r="G440" i="2" s="1"/>
  <c r="H440" i="2" s="1"/>
  <c r="F324" i="2"/>
  <c r="G324" i="2" s="1"/>
  <c r="H324" i="2" s="1"/>
  <c r="F15" i="2"/>
  <c r="G15" i="2" s="1"/>
  <c r="H15" i="2" s="1"/>
  <c r="F63" i="2"/>
  <c r="G63" i="2" s="1"/>
  <c r="H63" i="2" s="1"/>
  <c r="F47" i="2"/>
  <c r="G47" i="2" s="1"/>
  <c r="H47" i="2" s="1"/>
  <c r="F521" i="2"/>
  <c r="G521" i="2" s="1"/>
  <c r="H521" i="2" s="1"/>
  <c r="F347" i="2"/>
  <c r="G347" i="2" s="1"/>
  <c r="H347" i="2" s="1"/>
  <c r="F372" i="2"/>
  <c r="G372" i="2" s="1"/>
  <c r="H372" i="2" s="1"/>
  <c r="F652" i="2"/>
  <c r="G652" i="2" s="1"/>
  <c r="H652" i="2" s="1"/>
  <c r="F557" i="2"/>
  <c r="G557" i="2" s="1"/>
  <c r="H557" i="2" s="1"/>
  <c r="F402" i="2"/>
  <c r="G402" i="2" s="1"/>
  <c r="H402" i="2" s="1"/>
  <c r="F380" i="2"/>
  <c r="G380" i="2" s="1"/>
  <c r="H380" i="2" s="1"/>
  <c r="F266" i="2"/>
  <c r="G266" i="2" s="1"/>
  <c r="H266" i="2" s="1"/>
  <c r="F192" i="2"/>
  <c r="G192" i="2" s="1"/>
  <c r="H192" i="2" s="1"/>
  <c r="F86" i="2"/>
  <c r="G86" i="2" s="1"/>
  <c r="H86" i="2" s="1"/>
  <c r="F254" i="2"/>
  <c r="G254" i="2" s="1"/>
  <c r="H254" i="2" s="1"/>
  <c r="F80" i="2"/>
  <c r="G80" i="2" s="1"/>
  <c r="H80" i="2" s="1"/>
  <c r="F170" i="2"/>
  <c r="G170" i="2" s="1"/>
  <c r="H170" i="2" s="1"/>
  <c r="F213" i="2"/>
  <c r="G213" i="2" s="1"/>
  <c r="H213" i="2" s="1"/>
  <c r="F19" i="2"/>
  <c r="G19" i="2" s="1"/>
  <c r="H19" i="2" s="1"/>
  <c r="F28" i="2"/>
  <c r="G28" i="2" s="1"/>
  <c r="H28" i="2" s="1"/>
  <c r="F507" i="2"/>
  <c r="G507" i="2" s="1"/>
  <c r="H507" i="2" s="1"/>
  <c r="F626" i="2"/>
  <c r="G626" i="2" s="1"/>
  <c r="H626" i="2" s="1"/>
  <c r="F408" i="2"/>
  <c r="G408" i="2" s="1"/>
  <c r="H408" i="2" s="1"/>
  <c r="F197" i="2"/>
  <c r="G197" i="2" s="1"/>
  <c r="H197" i="2" s="1"/>
  <c r="F398" i="2"/>
  <c r="G398" i="2" s="1"/>
  <c r="H398" i="2" s="1"/>
  <c r="F406" i="2"/>
  <c r="G406" i="2" s="1"/>
  <c r="H406" i="2" s="1"/>
  <c r="F35" i="2"/>
  <c r="G35" i="2" s="1"/>
  <c r="H35" i="2" s="1"/>
  <c r="F590" i="2"/>
  <c r="G590" i="2" s="1"/>
  <c r="H590" i="2" s="1"/>
  <c r="F91" i="2"/>
  <c r="G91" i="2" s="1"/>
  <c r="H91" i="2" s="1"/>
  <c r="F132" i="2"/>
  <c r="G132" i="2" s="1"/>
  <c r="H132" i="2" s="1"/>
  <c r="F580" i="2"/>
  <c r="G580" i="2" s="1"/>
  <c r="H580" i="2" s="1"/>
  <c r="F537" i="2"/>
  <c r="G537" i="2" s="1"/>
  <c r="H537" i="2" s="1"/>
  <c r="F436" i="2"/>
  <c r="G436" i="2" s="1"/>
  <c r="H436" i="2" s="1"/>
  <c r="F394" i="2"/>
  <c r="G394" i="2" s="1"/>
  <c r="H394" i="2" s="1"/>
  <c r="F460" i="2"/>
  <c r="G460" i="2" s="1"/>
  <c r="H460" i="2" s="1"/>
  <c r="F110" i="2"/>
  <c r="G110" i="2" s="1"/>
  <c r="H110" i="2" s="1"/>
  <c r="F52" i="2"/>
  <c r="G52" i="2" s="1"/>
  <c r="H52" i="2" s="1"/>
  <c r="F539" i="2"/>
  <c r="G539" i="2" s="1"/>
  <c r="H539" i="2" s="1"/>
  <c r="F560" i="2"/>
  <c r="G560" i="2" s="1"/>
  <c r="H560" i="2" s="1"/>
  <c r="F534" i="2"/>
  <c r="G534" i="2" s="1"/>
  <c r="H534" i="2" s="1"/>
  <c r="F395" i="2"/>
  <c r="G395" i="2" s="1"/>
  <c r="H395" i="2" s="1"/>
  <c r="F367" i="2"/>
  <c r="G367" i="2" s="1"/>
  <c r="H367" i="2" s="1"/>
  <c r="F265" i="2"/>
  <c r="G265" i="2" s="1"/>
  <c r="H265" i="2" s="1"/>
  <c r="F102" i="2"/>
  <c r="G102" i="2" s="1"/>
  <c r="H102" i="2" s="1"/>
  <c r="F172" i="2"/>
  <c r="G172" i="2" s="1"/>
  <c r="H172" i="2" s="1"/>
  <c r="F105" i="2"/>
  <c r="G105" i="2" s="1"/>
  <c r="H105" i="2" s="1"/>
  <c r="F176" i="2"/>
  <c r="G176" i="2" s="1"/>
  <c r="H176" i="2" s="1"/>
  <c r="F68" i="2"/>
  <c r="G68" i="2" s="1"/>
  <c r="H68" i="2" s="1"/>
  <c r="F175" i="2"/>
  <c r="G175" i="2" s="1"/>
  <c r="H175" i="2" s="1"/>
  <c r="F103" i="2"/>
  <c r="G103" i="2" s="1"/>
  <c r="H103" i="2" s="1"/>
  <c r="F208" i="2"/>
  <c r="G208" i="2" s="1"/>
  <c r="H208" i="2" s="1"/>
  <c r="F8" i="2"/>
  <c r="G8" i="2" s="1"/>
  <c r="H8" i="2" s="1"/>
  <c r="F37" i="2"/>
  <c r="G37" i="2" s="1"/>
  <c r="H37" i="2" s="1"/>
  <c r="F40" i="2"/>
  <c r="G40" i="2" s="1"/>
  <c r="H40" i="2" s="1"/>
  <c r="F10" i="2"/>
  <c r="G10" i="2" s="1"/>
  <c r="H10" i="2" s="1"/>
  <c r="F18" i="2"/>
  <c r="G18" i="2" s="1"/>
  <c r="H18" i="2" s="1"/>
  <c r="F467" i="2"/>
  <c r="G467" i="2" s="1"/>
  <c r="H467" i="2" s="1"/>
  <c r="F586" i="2"/>
  <c r="G586" i="2" s="1"/>
  <c r="H586" i="2" s="1"/>
  <c r="F601" i="2"/>
  <c r="G601" i="2" s="1"/>
  <c r="H601" i="2" s="1"/>
  <c r="F602" i="2"/>
  <c r="G602" i="2" s="1"/>
  <c r="H602" i="2" s="1"/>
  <c r="F190" i="2"/>
  <c r="G190" i="2" s="1"/>
  <c r="H190" i="2" s="1"/>
  <c r="F552" i="2"/>
  <c r="G552" i="2" s="1"/>
  <c r="H552" i="2" s="1"/>
  <c r="F369" i="2"/>
  <c r="G369" i="2" s="1"/>
  <c r="H369" i="2" s="1"/>
  <c r="F470" i="2"/>
  <c r="G470" i="2" s="1"/>
  <c r="H470" i="2" s="1"/>
  <c r="F3" i="2"/>
  <c r="G3" i="2" s="1"/>
  <c r="H3" i="2" s="1"/>
  <c r="F44" i="2"/>
  <c r="G44" i="2" s="1"/>
  <c r="H44" i="2" s="1"/>
  <c r="F604" i="2"/>
  <c r="G604" i="2" s="1"/>
  <c r="H604" i="2" s="1"/>
  <c r="F614" i="2"/>
  <c r="G614" i="2" s="1"/>
  <c r="H614" i="2" s="1"/>
  <c r="F411" i="2"/>
  <c r="G411" i="2" s="1"/>
  <c r="H411" i="2" s="1"/>
  <c r="F494" i="2"/>
  <c r="G494" i="2" s="1"/>
  <c r="H494" i="2" s="1"/>
  <c r="F291" i="2"/>
  <c r="G291" i="2" s="1"/>
  <c r="H291" i="2" s="1"/>
  <c r="F223" i="2"/>
  <c r="G223" i="2" s="1"/>
  <c r="H223" i="2" s="1"/>
  <c r="F211" i="2"/>
  <c r="G211" i="2" s="1"/>
  <c r="H211" i="2" s="1"/>
  <c r="F112" i="2"/>
  <c r="G112" i="2" s="1"/>
  <c r="H112" i="2" s="1"/>
  <c r="F649" i="2"/>
  <c r="G649" i="2" s="1"/>
  <c r="H649" i="2" s="1"/>
  <c r="F533" i="2"/>
  <c r="G533" i="2" s="1"/>
  <c r="H533" i="2" s="1"/>
  <c r="F526" i="2"/>
  <c r="G526" i="2" s="1"/>
  <c r="H526" i="2" s="1"/>
  <c r="F424" i="2"/>
  <c r="G424" i="2" s="1"/>
  <c r="H424" i="2" s="1"/>
  <c r="F342" i="2"/>
  <c r="G342" i="2" s="1"/>
  <c r="H342" i="2" s="1"/>
  <c r="F257" i="2"/>
  <c r="G257" i="2" s="1"/>
  <c r="H257" i="2" s="1"/>
  <c r="F168" i="2"/>
  <c r="G168" i="2" s="1"/>
  <c r="H168" i="2" s="1"/>
  <c r="F81" i="2"/>
  <c r="G81" i="2" s="1"/>
  <c r="H81" i="2" s="1"/>
  <c r="F631" i="2"/>
  <c r="G631" i="2" s="1"/>
  <c r="H631" i="2" s="1"/>
  <c r="F643" i="2"/>
  <c r="G643" i="2" s="1"/>
  <c r="H643" i="2" s="1"/>
  <c r="F600" i="2"/>
  <c r="G600" i="2" s="1"/>
  <c r="H600" i="2" s="1"/>
  <c r="F629" i="2"/>
  <c r="G629" i="2" s="1"/>
  <c r="H629" i="2" s="1"/>
  <c r="F511" i="2"/>
  <c r="G511" i="2" s="1"/>
  <c r="H511" i="2" s="1"/>
  <c r="F503" i="2"/>
  <c r="G503" i="2" s="1"/>
  <c r="H503" i="2" s="1"/>
  <c r="F510" i="2"/>
  <c r="G510" i="2" s="1"/>
  <c r="H510" i="2" s="1"/>
  <c r="F319" i="2"/>
  <c r="G319" i="2" s="1"/>
  <c r="H319" i="2" s="1"/>
  <c r="F235" i="2"/>
  <c r="G235" i="2" s="1"/>
  <c r="H235" i="2" s="1"/>
  <c r="F355" i="2"/>
  <c r="G355" i="2" s="1"/>
  <c r="H355" i="2" s="1"/>
  <c r="F95" i="2"/>
  <c r="G95" i="2" s="1"/>
  <c r="H95" i="2" s="1"/>
  <c r="F92" i="2"/>
  <c r="G92" i="2" s="1"/>
  <c r="H92" i="2" s="1"/>
  <c r="F58" i="2"/>
  <c r="G58" i="2" s="1"/>
  <c r="H58" i="2" s="1"/>
  <c r="F159" i="2"/>
  <c r="G159" i="2" s="1"/>
  <c r="H159" i="2" s="1"/>
  <c r="F169" i="2"/>
  <c r="G169" i="2" s="1"/>
  <c r="H169" i="2" s="1"/>
  <c r="F30" i="2"/>
  <c r="G30" i="2" s="1"/>
  <c r="H30" i="2" s="1"/>
  <c r="F4" i="2"/>
  <c r="G4" i="2" s="1"/>
  <c r="H4" i="2" s="1"/>
  <c r="F573" i="2"/>
  <c r="G573" i="2" s="1"/>
  <c r="H573" i="2" s="1"/>
  <c r="F459" i="2"/>
  <c r="G459" i="2" s="1"/>
  <c r="H459" i="2" s="1"/>
  <c r="F578" i="2"/>
  <c r="G578" i="2" s="1"/>
  <c r="H578" i="2" s="1"/>
  <c r="F569" i="2"/>
  <c r="G569" i="2" s="1"/>
  <c r="H569" i="2" s="1"/>
  <c r="F99" i="2"/>
  <c r="G99" i="2" s="1"/>
  <c r="H99" i="2" s="1"/>
  <c r="F454" i="2"/>
  <c r="G454" i="2" s="1"/>
  <c r="H454" i="2" s="1"/>
  <c r="F525" i="2"/>
  <c r="G525" i="2" s="1"/>
  <c r="H525" i="2" s="1"/>
  <c r="F56" i="2"/>
  <c r="G56" i="2" s="1"/>
  <c r="H56" i="2" s="1"/>
  <c r="F636" i="2"/>
  <c r="G636" i="2" s="1"/>
  <c r="H636" i="2" s="1"/>
  <c r="F492" i="2"/>
  <c r="G492" i="2" s="1"/>
  <c r="H492" i="2" s="1"/>
  <c r="F352" i="2"/>
  <c r="G352" i="2" s="1"/>
  <c r="H352" i="2" s="1"/>
  <c r="F353" i="2"/>
  <c r="G353" i="2" s="1"/>
  <c r="H353" i="2" s="1"/>
  <c r="F273" i="2"/>
  <c r="G273" i="2" s="1"/>
  <c r="H273" i="2" s="1"/>
  <c r="F191" i="2"/>
  <c r="G191" i="2" s="1"/>
  <c r="H191" i="2" s="1"/>
  <c r="F25" i="2"/>
  <c r="G25" i="2" s="1"/>
  <c r="H25" i="2" s="1"/>
  <c r="F665" i="2"/>
  <c r="G665" i="2" s="1"/>
  <c r="H665" i="2" s="1"/>
  <c r="F484" i="2"/>
  <c r="G484" i="2" s="1"/>
  <c r="H484" i="2" s="1"/>
  <c r="F531" i="2"/>
  <c r="G531" i="2" s="1"/>
  <c r="H531" i="2" s="1"/>
  <c r="F524" i="2"/>
  <c r="G524" i="2" s="1"/>
  <c r="H524" i="2" s="1"/>
  <c r="F268" i="2"/>
  <c r="G268" i="2" s="1"/>
  <c r="H268" i="2" s="1"/>
  <c r="F445" i="2"/>
  <c r="G445" i="2" s="1"/>
  <c r="H445" i="2" s="1"/>
  <c r="F111" i="2"/>
  <c r="G111" i="2" s="1"/>
  <c r="H111" i="2" s="1"/>
  <c r="F559" i="2"/>
  <c r="G559" i="2" s="1"/>
  <c r="H559" i="2" s="1"/>
  <c r="F527" i="2"/>
  <c r="G527" i="2" s="1"/>
  <c r="H527" i="2" s="1"/>
  <c r="F587" i="2"/>
  <c r="G587" i="2" s="1"/>
  <c r="H587" i="2" s="1"/>
  <c r="F409" i="2"/>
  <c r="G409" i="2" s="1"/>
  <c r="H409" i="2" s="1"/>
  <c r="F275" i="2"/>
  <c r="G275" i="2" s="1"/>
  <c r="H275" i="2" s="1"/>
  <c r="F262" i="2"/>
  <c r="G262" i="2" s="1"/>
  <c r="H262" i="2" s="1"/>
  <c r="F137" i="2"/>
  <c r="G137" i="2" s="1"/>
  <c r="H137" i="2" s="1"/>
  <c r="F48" i="2"/>
  <c r="G48" i="2" s="1"/>
  <c r="H48" i="2" s="1"/>
  <c r="F659" i="2"/>
  <c r="G659" i="2" s="1"/>
  <c r="H659" i="2" s="1"/>
  <c r="F612" i="2"/>
  <c r="G612" i="2" s="1"/>
  <c r="H612" i="2" s="1"/>
  <c r="F486" i="2"/>
  <c r="G486" i="2" s="1"/>
  <c r="H486" i="2" s="1"/>
  <c r="F330" i="2"/>
  <c r="G330" i="2" s="1"/>
  <c r="H330" i="2" s="1"/>
  <c r="F390" i="2"/>
  <c r="G390" i="2" s="1"/>
  <c r="H390" i="2" s="1"/>
  <c r="F362" i="2"/>
  <c r="G362" i="2" s="1"/>
  <c r="H362" i="2" s="1"/>
  <c r="F205" i="2"/>
  <c r="G205" i="2" s="1"/>
  <c r="H205" i="2" s="1"/>
  <c r="F157" i="2"/>
  <c r="G157" i="2" s="1"/>
  <c r="H157" i="2" s="1"/>
  <c r="F160" i="2"/>
  <c r="G160" i="2" s="1"/>
  <c r="H160" i="2" s="1"/>
  <c r="F523" i="2"/>
  <c r="G523" i="2" s="1"/>
  <c r="H523" i="2" s="1"/>
  <c r="F610" i="2"/>
  <c r="G610" i="2" s="1"/>
  <c r="H610" i="2" s="1"/>
  <c r="F579" i="2"/>
  <c r="G579" i="2" s="1"/>
  <c r="H579" i="2" s="1"/>
  <c r="F504" i="2"/>
  <c r="G504" i="2" s="1"/>
  <c r="H504" i="2" s="1"/>
  <c r="F325" i="2"/>
  <c r="G325" i="2" s="1"/>
  <c r="H325" i="2" s="1"/>
  <c r="F259" i="2"/>
  <c r="G259" i="2" s="1"/>
  <c r="H259" i="2" s="1"/>
  <c r="F2" i="2"/>
  <c r="M6" i="2"/>
  <c r="O6" i="2"/>
  <c r="L12" i="2" l="1" a="1"/>
  <c r="L12" i="2" s="1"/>
  <c r="G2" i="2"/>
  <c r="N6" i="2"/>
  <c r="H2" i="2" l="1"/>
  <c r="H66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<sst xmlns="http://schemas.openxmlformats.org/spreadsheetml/2006/main" count="48" uniqueCount="35">
  <si>
    <t xml:space="preserve">Column 1 </t>
  </si>
  <si>
    <t>Column 2</t>
  </si>
  <si>
    <t>Column 3</t>
  </si>
  <si>
    <t>Column 4</t>
  </si>
  <si>
    <t>Column 5</t>
  </si>
  <si>
    <t>Bank's decision</t>
  </si>
  <si>
    <t>Learning Rate</t>
  </si>
  <si>
    <t>Cost</t>
  </si>
  <si>
    <t>Iteration</t>
  </si>
  <si>
    <t>Number of correct decisions</t>
  </si>
  <si>
    <t>Linear function</t>
  </si>
  <si>
    <t>Truncated linear function</t>
  </si>
  <si>
    <t>Probability</t>
  </si>
  <si>
    <t>Truncated Probability</t>
  </si>
  <si>
    <t>Correct Outcomes</t>
  </si>
  <si>
    <t>Left Truncated linear function</t>
  </si>
  <si>
    <t>Left Truncated Probability</t>
  </si>
  <si>
    <t>New a_0</t>
  </si>
  <si>
    <t>New a_1</t>
  </si>
  <si>
    <t>Change in average cost from previous iteration</t>
  </si>
  <si>
    <t>Algorithm decision</t>
  </si>
  <si>
    <t>Please initialize Parameter values in cells J2 through P2 above.</t>
  </si>
  <si>
    <t>Enter Option+Command+s or Ctrl+s to run the first iteration of the algorithm.</t>
  </si>
  <si>
    <t>u_0</t>
  </si>
  <si>
    <t>u_1</t>
  </si>
  <si>
    <t>u_2</t>
  </si>
  <si>
    <t>u_3</t>
  </si>
  <si>
    <t>u_4</t>
  </si>
  <si>
    <t>u_5</t>
  </si>
  <si>
    <t>du_0</t>
  </si>
  <si>
    <t>du_1</t>
  </si>
  <si>
    <t>du_2</t>
  </si>
  <si>
    <t>du_3</t>
  </si>
  <si>
    <t>du_4</t>
  </si>
  <si>
    <t>du_5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</si>
</sst>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4" fillId="5" borderId="5" applyNumberFormat="0" applyAlignment="0" applyProtection="0"/>
    <xf numFmtId="0" fontId="5" fillId="6" borderId="6" applyNumberFormat="0" applyAlignment="0" applyProtection="0"/>
  </cellStyleXfs>
  <cellXfs count="17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8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7" borderId="2" xfId="0" applyFont="1" applyFill="1" applyBorder="1" applyProtection="1">
      <protection locked="0"/>
    </xf>
    <xf numFmtId="0" fontId="0" fillId="7" borderId="4" xfId="0" applyFont="1" applyFill="1" applyBorder="1" applyProtection="1">
      <protection locked="0"/>
    </xf>
    <xf numFmtId="0" fontId="3" fillId="0" borderId="0" xfId="0" applyFont="1" applyProtection="1">
      <protection locked="0"/>
    </xf>
    <xf numFmtId="0" fontId="2" fillId="4" borderId="1" xfId="0" applyFont="1" applyFill="1" applyBorder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4" xfId="0" applyFont="1" applyFill="1" applyBorder="1" applyProtection="1">
      <protection locked="0"/>
    </xf>
    <xf numFmtId="0" fontId="0" fillId="0" borderId="1" xfId="0" applyFont="1" applyBorder="1" applyProtection="1">
      <protection locked="0"/>
    </xf>
    <xf numFmtId="0" fontId="5" fillId="6" borderId="6" xfId="2" applyProtection="1">
      <protection locked="0"/>
    </xf>
    <xf numFmtId="0" fontId="0" fillId="0" borderId="3" xfId="0" applyFont="1" applyBorder="1" applyProtection="1">
      <protection locked="0"/>
    </xf>
    <xf numFmtId="0" fontId="0" fillId="8" borderId="0" xfId="0" applyFill="1" applyProtection="1"/>
    <xf numFmtId="0" fontId="4" fillId="5" borderId="5" xfId="1" applyProtection="1"/>
  </cellXfs>
  <cellStyles count="3">
    <cellStyle name="Input" xfId="1" builtinId="20"/>
    <cellStyle name="Normal" xfId="0" builtinId="0"/>
    <cellStyle name="Output" xfId="2" builtinId="2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EE02F-07EA-ED40-A463-B56F3A2DB53F}">
  <sheetPr codeName="Sheet1"/>
  <dimension ref="A1:Q668"/>
  <sheetViews>
    <sheetView tabSelected="1" workbookViewId="0">
      <selection activeCell="P2" sqref="P2"/>
    </sheetView>
  </sheetViews>
  <sheetFormatPr baseColWidth="10" defaultRowHeight="16" x14ac:dyDescent="0.2"/>
  <cols>
    <col min="1" max="5" width="10.83203125" style="4"/>
    <col min="6" max="6" width="13" style="4" customWidth="1"/>
    <col min="7" max="7" width="6.33203125" style="4" customWidth="1"/>
    <col min="8" max="8" width="10.83203125" style="4"/>
    <col min="9" max="9" width="14.1640625" style="4" customWidth="1"/>
    <col min="10" max="10" width="44" style="4" customWidth="1"/>
    <col min="11" max="11" width="26.5" style="4" customWidth="1"/>
    <col min="12" max="16384" width="10.83203125" style="4"/>
  </cols>
  <sheetData>
    <row r="1" spans="1:17" x14ac:dyDescent="0.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J1" s="3" t="s">
        <v>6</v>
      </c>
      <c r="K1" s="3" t="s">
        <v>23</v>
      </c>
      <c r="L1" s="3" t="s">
        <v>24</v>
      </c>
      <c r="M1" s="3" t="s">
        <v>25</v>
      </c>
      <c r="N1" s="3" t="s">
        <v>26</v>
      </c>
      <c r="O1" s="3" t="s">
        <v>27</v>
      </c>
      <c r="P1" s="3" t="s">
        <v>28</v>
      </c>
    </row>
    <row r="2" spans="1:17" x14ac:dyDescent="0.2">
      <c r="A2" s="16">
        <v>35.17</v>
      </c>
      <c r="B2" s="16">
        <v>4.5</v>
      </c>
      <c r="C2" s="16">
        <v>5.75</v>
      </c>
      <c r="D2" s="16">
        <v>711</v>
      </c>
      <c r="E2" s="16">
        <v>0</v>
      </c>
      <c r="F2" s="16">
        <v>1</v>
      </c>
      <c r="J2" s="5">
        <v>5.0000000000000001E-3</v>
      </c>
      <c r="K2" s="6">
        <v>4.7</v>
      </c>
      <c r="L2" s="6">
        <v>-0.9</v>
      </c>
      <c r="M2" s="6">
        <v>2.2000000000000002</v>
      </c>
      <c r="N2" s="6">
        <v>1.8</v>
      </c>
      <c r="O2" s="6">
        <v>1.3</v>
      </c>
      <c r="P2" s="7">
        <v>3.2</v>
      </c>
    </row>
    <row r="3" spans="1:17" ht="21" x14ac:dyDescent="0.25">
      <c r="A3" s="16">
        <v>43.25</v>
      </c>
      <c r="B3" s="16">
        <v>3</v>
      </c>
      <c r="C3" s="16">
        <v>6</v>
      </c>
      <c r="D3" s="16">
        <v>80</v>
      </c>
      <c r="E3" s="16">
        <v>0</v>
      </c>
      <c r="F3" s="16">
        <v>1</v>
      </c>
      <c r="I3" s="8" t="s">
        <v>21</v>
      </c>
      <c r="J3" s="8"/>
      <c r="K3" s="8"/>
      <c r="L3" s="8"/>
      <c r="M3" s="8"/>
    </row>
    <row r="4" spans="1:17" ht="21" x14ac:dyDescent="0.25">
      <c r="A4" s="16">
        <v>56.75</v>
      </c>
      <c r="B4" s="16">
        <v>12.25</v>
      </c>
      <c r="C4" s="16">
        <v>1.25</v>
      </c>
      <c r="D4" s="16">
        <v>200</v>
      </c>
      <c r="E4" s="16">
        <v>0</v>
      </c>
      <c r="F4" s="16">
        <v>1</v>
      </c>
      <c r="I4" s="8" t="s">
        <v>22</v>
      </c>
    </row>
    <row r="5" spans="1:17" x14ac:dyDescent="0.2">
      <c r="A5" s="16">
        <v>31.67</v>
      </c>
      <c r="B5" s="16">
        <v>16.164999999999999</v>
      </c>
      <c r="C5" s="16">
        <v>3</v>
      </c>
      <c r="D5" s="16">
        <v>250</v>
      </c>
      <c r="E5" s="16">
        <v>730</v>
      </c>
      <c r="F5" s="16">
        <v>1</v>
      </c>
    </row>
    <row r="6" spans="1:17" x14ac:dyDescent="0.2">
      <c r="A6" s="16">
        <v>23.42</v>
      </c>
      <c r="B6" s="16">
        <v>0.79</v>
      </c>
      <c r="C6" s="16">
        <v>1.5</v>
      </c>
      <c r="D6" s="16">
        <v>80</v>
      </c>
      <c r="E6" s="16">
        <v>400</v>
      </c>
      <c r="F6" s="16">
        <v>1</v>
      </c>
    </row>
    <row r="7" spans="1:17" x14ac:dyDescent="0.2">
      <c r="A7" s="16">
        <v>20.420000000000002</v>
      </c>
      <c r="B7" s="16">
        <v>0.83499999999999996</v>
      </c>
      <c r="C7" s="16">
        <v>1.585</v>
      </c>
      <c r="D7" s="16">
        <v>0</v>
      </c>
      <c r="E7" s="16">
        <v>0</v>
      </c>
      <c r="F7" s="16">
        <v>1</v>
      </c>
    </row>
    <row r="8" spans="1:17" x14ac:dyDescent="0.2">
      <c r="A8" s="16">
        <v>26.67</v>
      </c>
      <c r="B8" s="16">
        <v>4.25</v>
      </c>
      <c r="C8" s="16">
        <v>4.29</v>
      </c>
      <c r="D8" s="16">
        <v>120</v>
      </c>
      <c r="E8" s="16">
        <v>0</v>
      </c>
      <c r="F8" s="16">
        <v>1</v>
      </c>
      <c r="H8" s="9" t="s">
        <v>8</v>
      </c>
      <c r="I8" s="10" t="s">
        <v>7</v>
      </c>
      <c r="J8" s="10" t="s">
        <v>19</v>
      </c>
      <c r="K8" s="10" t="s">
        <v>9</v>
      </c>
      <c r="L8" s="10" t="s">
        <v>23</v>
      </c>
      <c r="M8" s="10" t="s">
        <v>24</v>
      </c>
      <c r="N8" s="10" t="s">
        <v>25</v>
      </c>
      <c r="O8" s="10" t="s">
        <v>26</v>
      </c>
      <c r="P8" s="10" t="s">
        <v>27</v>
      </c>
      <c r="Q8" s="11" t="s">
        <v>28</v>
      </c>
    </row>
    <row r="9" spans="1:17" x14ac:dyDescent="0.2">
      <c r="A9" s="16">
        <v>34.17</v>
      </c>
      <c r="B9" s="16">
        <v>1.54</v>
      </c>
      <c r="C9" s="16">
        <v>1.54</v>
      </c>
      <c r="D9" s="16">
        <v>520</v>
      </c>
      <c r="E9" s="16">
        <v>50000</v>
      </c>
      <c r="F9" s="16">
        <v>1</v>
      </c>
      <c r="H9" s="12">
        <v>1</v>
      </c>
      <c r="I9" s="13"/>
      <c r="J9" s="13"/>
      <c r="K9" s="13"/>
      <c r="L9" s="13"/>
      <c r="M9" s="13"/>
      <c r="N9" s="13"/>
      <c r="O9" s="13"/>
      <c r="P9" s="13"/>
      <c r="Q9" s="13"/>
    </row>
    <row r="10" spans="1:17" x14ac:dyDescent="0.2">
      <c r="A10" s="16">
        <v>36</v>
      </c>
      <c r="B10" s="16">
        <v>1</v>
      </c>
      <c r="C10" s="16">
        <v>2</v>
      </c>
      <c r="D10" s="16">
        <v>0</v>
      </c>
      <c r="E10" s="16">
        <v>456</v>
      </c>
      <c r="F10" s="16">
        <v>1</v>
      </c>
      <c r="H10" s="12">
        <f t="shared" ref="H10:H49" si="0">H9+1</f>
        <v>2</v>
      </c>
      <c r="I10" s="13"/>
      <c r="J10" s="13"/>
      <c r="K10" s="13"/>
      <c r="L10" s="13"/>
      <c r="M10" s="13"/>
      <c r="N10" s="13"/>
      <c r="O10" s="13"/>
      <c r="P10" s="13"/>
      <c r="Q10" s="13"/>
    </row>
    <row r="11" spans="1:17" x14ac:dyDescent="0.2">
      <c r="A11" s="16">
        <v>25.5</v>
      </c>
      <c r="B11" s="16">
        <v>0.375</v>
      </c>
      <c r="C11" s="16">
        <v>0.25</v>
      </c>
      <c r="D11" s="16">
        <v>260</v>
      </c>
      <c r="E11" s="16">
        <v>15108</v>
      </c>
      <c r="F11" s="16">
        <v>1</v>
      </c>
      <c r="H11" s="12">
        <f t="shared" si="0"/>
        <v>3</v>
      </c>
      <c r="I11" s="13"/>
      <c r="J11" s="13"/>
      <c r="K11" s="13"/>
      <c r="L11" s="13"/>
      <c r="M11" s="13"/>
      <c r="N11" s="13"/>
      <c r="O11" s="13"/>
      <c r="P11" s="13"/>
      <c r="Q11" s="13"/>
    </row>
    <row r="12" spans="1:17" x14ac:dyDescent="0.2">
      <c r="A12" s="16">
        <v>19.420000000000002</v>
      </c>
      <c r="B12" s="16">
        <v>6.5</v>
      </c>
      <c r="C12" s="16">
        <v>1.46</v>
      </c>
      <c r="D12" s="16">
        <v>80</v>
      </c>
      <c r="E12" s="16">
        <v>2954</v>
      </c>
      <c r="F12" s="16">
        <v>1</v>
      </c>
      <c r="H12" s="12">
        <f t="shared" si="0"/>
        <v>4</v>
      </c>
      <c r="I12" s="13"/>
      <c r="J12" s="13"/>
      <c r="K12" s="13"/>
      <c r="L12" s="13"/>
      <c r="M12" s="13"/>
      <c r="N12" s="13"/>
      <c r="O12" s="13"/>
      <c r="P12" s="13"/>
      <c r="Q12" s="13"/>
    </row>
    <row r="13" spans="1:17" x14ac:dyDescent="0.2">
      <c r="A13" s="16">
        <v>35.17</v>
      </c>
      <c r="B13" s="16">
        <v>25.125</v>
      </c>
      <c r="C13" s="16">
        <v>1.625</v>
      </c>
      <c r="D13" s="16">
        <v>515</v>
      </c>
      <c r="E13" s="16">
        <v>500</v>
      </c>
      <c r="F13" s="16">
        <v>1</v>
      </c>
      <c r="H13" s="12">
        <f t="shared" si="0"/>
        <v>5</v>
      </c>
      <c r="I13" s="13"/>
      <c r="J13" s="13"/>
      <c r="K13" s="13"/>
      <c r="L13" s="13"/>
      <c r="M13" s="13"/>
      <c r="N13" s="13"/>
      <c r="O13" s="13"/>
      <c r="P13" s="13"/>
      <c r="Q13" s="13"/>
    </row>
    <row r="14" spans="1:17" x14ac:dyDescent="0.2">
      <c r="A14" s="16">
        <v>32.33</v>
      </c>
      <c r="B14" s="16">
        <v>7.5</v>
      </c>
      <c r="C14" s="16">
        <v>1.585</v>
      </c>
      <c r="D14" s="16">
        <v>420</v>
      </c>
      <c r="E14" s="16">
        <v>0</v>
      </c>
      <c r="F14" s="16">
        <v>0</v>
      </c>
      <c r="H14" s="12">
        <f t="shared" si="0"/>
        <v>6</v>
      </c>
      <c r="I14" s="13"/>
      <c r="J14" s="13"/>
      <c r="K14" s="13"/>
      <c r="L14" s="13"/>
      <c r="M14" s="13"/>
      <c r="N14" s="13"/>
      <c r="O14" s="13"/>
      <c r="P14" s="13"/>
      <c r="Q14" s="13"/>
    </row>
    <row r="15" spans="1:17" x14ac:dyDescent="0.2">
      <c r="A15" s="16">
        <v>38.58</v>
      </c>
      <c r="B15" s="16">
        <v>5</v>
      </c>
      <c r="C15" s="16">
        <v>13.5</v>
      </c>
      <c r="D15" s="16">
        <v>980</v>
      </c>
      <c r="E15" s="16">
        <v>0</v>
      </c>
      <c r="F15" s="16">
        <v>0</v>
      </c>
      <c r="H15" s="12">
        <f t="shared" si="0"/>
        <v>7</v>
      </c>
      <c r="I15" s="13"/>
      <c r="J15" s="13"/>
      <c r="K15" s="13"/>
      <c r="L15" s="13"/>
      <c r="M15" s="13"/>
      <c r="N15" s="13"/>
      <c r="O15" s="13"/>
      <c r="P15" s="13"/>
      <c r="Q15" s="13"/>
    </row>
    <row r="16" spans="1:17" x14ac:dyDescent="0.2">
      <c r="A16" s="16">
        <v>44.25</v>
      </c>
      <c r="B16" s="16">
        <v>0.5</v>
      </c>
      <c r="C16" s="16">
        <v>10.75</v>
      </c>
      <c r="D16" s="16">
        <v>400</v>
      </c>
      <c r="E16" s="16">
        <v>0</v>
      </c>
      <c r="F16" s="16">
        <v>0</v>
      </c>
      <c r="H16" s="12">
        <f t="shared" si="0"/>
        <v>8</v>
      </c>
      <c r="I16" s="13"/>
      <c r="J16" s="13"/>
      <c r="K16" s="13"/>
      <c r="L16" s="13"/>
      <c r="M16" s="13"/>
      <c r="N16" s="13"/>
      <c r="O16" s="13"/>
      <c r="P16" s="13"/>
      <c r="Q16" s="13"/>
    </row>
    <row r="17" spans="1:17" x14ac:dyDescent="0.2">
      <c r="A17" s="16">
        <v>44.83</v>
      </c>
      <c r="B17" s="16">
        <v>7</v>
      </c>
      <c r="C17" s="16">
        <v>1.625</v>
      </c>
      <c r="D17" s="16">
        <v>160</v>
      </c>
      <c r="E17" s="16">
        <v>2</v>
      </c>
      <c r="F17" s="16">
        <v>0</v>
      </c>
      <c r="H17" s="12">
        <f t="shared" si="0"/>
        <v>9</v>
      </c>
      <c r="I17" s="13"/>
      <c r="J17" s="13"/>
      <c r="K17" s="13"/>
      <c r="L17" s="13"/>
      <c r="M17" s="13"/>
      <c r="N17" s="13"/>
      <c r="O17" s="13"/>
      <c r="P17" s="13"/>
      <c r="Q17" s="13"/>
    </row>
    <row r="18" spans="1:17" x14ac:dyDescent="0.2">
      <c r="A18" s="16">
        <v>28.25</v>
      </c>
      <c r="B18" s="16">
        <v>0.875</v>
      </c>
      <c r="C18" s="16">
        <v>0.96</v>
      </c>
      <c r="D18" s="16">
        <v>396</v>
      </c>
      <c r="E18" s="16">
        <v>0</v>
      </c>
      <c r="F18" s="16">
        <v>1</v>
      </c>
      <c r="H18" s="12">
        <f t="shared" si="0"/>
        <v>10</v>
      </c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">
      <c r="A19" s="16">
        <v>23.25</v>
      </c>
      <c r="B19" s="16">
        <v>5.875</v>
      </c>
      <c r="C19" s="16">
        <v>3.17</v>
      </c>
      <c r="D19" s="16">
        <v>120</v>
      </c>
      <c r="E19" s="16">
        <v>245</v>
      </c>
      <c r="F19" s="16">
        <v>1</v>
      </c>
      <c r="H19" s="12">
        <f t="shared" si="0"/>
        <v>11</v>
      </c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">
      <c r="A20" s="16">
        <v>21.83</v>
      </c>
      <c r="B20" s="16">
        <v>0.25</v>
      </c>
      <c r="C20" s="16">
        <v>0.66500000000000004</v>
      </c>
      <c r="D20" s="16">
        <v>0</v>
      </c>
      <c r="E20" s="16">
        <v>0</v>
      </c>
      <c r="F20" s="16">
        <v>1</v>
      </c>
      <c r="H20" s="12">
        <f t="shared" si="0"/>
        <v>12</v>
      </c>
      <c r="I20" s="13"/>
      <c r="J20" s="13"/>
      <c r="K20" s="13"/>
      <c r="L20" s="13"/>
      <c r="M20" s="13"/>
      <c r="N20" s="13"/>
      <c r="O20" s="13"/>
      <c r="P20" s="13"/>
      <c r="Q20" s="13"/>
    </row>
    <row r="21" spans="1:17" x14ac:dyDescent="0.2">
      <c r="A21" s="16">
        <v>19.170000000000002</v>
      </c>
      <c r="B21" s="16">
        <v>8.5850000000000009</v>
      </c>
      <c r="C21" s="16">
        <v>0.75</v>
      </c>
      <c r="D21" s="16">
        <v>96</v>
      </c>
      <c r="E21" s="16">
        <v>0</v>
      </c>
      <c r="F21" s="16">
        <v>1</v>
      </c>
      <c r="H21" s="12">
        <f t="shared" si="0"/>
        <v>13</v>
      </c>
      <c r="I21" s="13"/>
      <c r="J21" s="13"/>
      <c r="K21" s="13"/>
      <c r="L21" s="13"/>
      <c r="M21" s="13"/>
      <c r="N21" s="13"/>
      <c r="O21" s="13"/>
      <c r="P21" s="13"/>
      <c r="Q21" s="13"/>
    </row>
    <row r="22" spans="1:17" x14ac:dyDescent="0.2">
      <c r="A22" s="16">
        <v>25</v>
      </c>
      <c r="B22" s="16">
        <v>11.25</v>
      </c>
      <c r="C22" s="16">
        <v>2.5</v>
      </c>
      <c r="D22" s="16">
        <v>200</v>
      </c>
      <c r="E22" s="16">
        <v>1208</v>
      </c>
      <c r="F22" s="16">
        <v>1</v>
      </c>
      <c r="H22" s="12">
        <f t="shared" si="0"/>
        <v>14</v>
      </c>
      <c r="I22" s="13"/>
      <c r="J22" s="13"/>
      <c r="K22" s="13"/>
      <c r="L22" s="13"/>
      <c r="M22" s="13"/>
      <c r="N22" s="13"/>
      <c r="O22" s="13"/>
      <c r="P22" s="13"/>
      <c r="Q22" s="13"/>
    </row>
    <row r="23" spans="1:17" x14ac:dyDescent="0.2">
      <c r="A23" s="16">
        <v>23.25</v>
      </c>
      <c r="B23" s="16">
        <v>1</v>
      </c>
      <c r="C23" s="16">
        <v>0.83499999999999996</v>
      </c>
      <c r="D23" s="16">
        <v>300</v>
      </c>
      <c r="E23" s="16">
        <v>0</v>
      </c>
      <c r="F23" s="16">
        <v>1</v>
      </c>
      <c r="H23" s="12">
        <f t="shared" si="0"/>
        <v>15</v>
      </c>
      <c r="I23" s="13"/>
      <c r="J23" s="13"/>
      <c r="K23" s="13"/>
      <c r="L23" s="13"/>
      <c r="M23" s="13"/>
      <c r="N23" s="13"/>
      <c r="O23" s="13"/>
      <c r="P23" s="13"/>
      <c r="Q23" s="13"/>
    </row>
    <row r="24" spans="1:17" x14ac:dyDescent="0.2">
      <c r="A24" s="16">
        <v>47.75</v>
      </c>
      <c r="B24" s="16">
        <v>8</v>
      </c>
      <c r="C24" s="16">
        <v>7.875</v>
      </c>
      <c r="D24" s="16">
        <v>0</v>
      </c>
      <c r="E24" s="16">
        <v>1260</v>
      </c>
      <c r="F24" s="16">
        <v>1</v>
      </c>
      <c r="H24" s="12">
        <f t="shared" si="0"/>
        <v>16</v>
      </c>
      <c r="I24" s="13"/>
      <c r="J24" s="13"/>
      <c r="K24" s="13"/>
      <c r="L24" s="13"/>
      <c r="M24" s="13"/>
      <c r="N24" s="13"/>
      <c r="O24" s="13"/>
      <c r="P24" s="13"/>
      <c r="Q24" s="13"/>
    </row>
    <row r="25" spans="1:17" x14ac:dyDescent="0.2">
      <c r="A25" s="16">
        <v>27.42</v>
      </c>
      <c r="B25" s="16">
        <v>14.5</v>
      </c>
      <c r="C25" s="16">
        <v>3.085</v>
      </c>
      <c r="D25" s="16">
        <v>120</v>
      </c>
      <c r="E25" s="16">
        <v>11</v>
      </c>
      <c r="F25" s="16">
        <v>1</v>
      </c>
      <c r="H25" s="12">
        <f t="shared" si="0"/>
        <v>17</v>
      </c>
      <c r="I25" s="13"/>
      <c r="J25" s="13"/>
      <c r="K25" s="13"/>
      <c r="L25" s="13"/>
      <c r="M25" s="13"/>
      <c r="N25" s="13"/>
      <c r="O25" s="13"/>
      <c r="P25" s="13"/>
      <c r="Q25" s="13"/>
    </row>
    <row r="26" spans="1:17" x14ac:dyDescent="0.2">
      <c r="A26" s="16">
        <v>41.17</v>
      </c>
      <c r="B26" s="16">
        <v>6.5</v>
      </c>
      <c r="C26" s="16">
        <v>0.5</v>
      </c>
      <c r="D26" s="16">
        <v>145</v>
      </c>
      <c r="E26" s="16">
        <v>0</v>
      </c>
      <c r="F26" s="16">
        <v>1</v>
      </c>
      <c r="H26" s="12">
        <f t="shared" si="0"/>
        <v>18</v>
      </c>
      <c r="I26" s="13"/>
      <c r="J26" s="13"/>
      <c r="K26" s="13"/>
      <c r="L26" s="13"/>
      <c r="M26" s="13"/>
      <c r="N26" s="13"/>
      <c r="O26" s="13"/>
      <c r="P26" s="13"/>
      <c r="Q26" s="13"/>
    </row>
    <row r="27" spans="1:17" x14ac:dyDescent="0.2">
      <c r="A27" s="16">
        <v>15.83</v>
      </c>
      <c r="B27" s="16">
        <v>0.58499999999999996</v>
      </c>
      <c r="C27" s="16">
        <v>1.5</v>
      </c>
      <c r="D27" s="16">
        <v>100</v>
      </c>
      <c r="E27" s="16">
        <v>0</v>
      </c>
      <c r="F27" s="16">
        <v>1</v>
      </c>
      <c r="H27" s="12">
        <f t="shared" si="0"/>
        <v>19</v>
      </c>
      <c r="I27" s="13"/>
      <c r="J27" s="13"/>
      <c r="K27" s="13"/>
      <c r="L27" s="13"/>
      <c r="M27" s="13"/>
      <c r="N27" s="13"/>
      <c r="O27" s="13"/>
      <c r="P27" s="13"/>
      <c r="Q27" s="13"/>
    </row>
    <row r="28" spans="1:17" x14ac:dyDescent="0.2">
      <c r="A28" s="16">
        <v>47</v>
      </c>
      <c r="B28" s="16">
        <v>13</v>
      </c>
      <c r="C28" s="16">
        <v>5.165</v>
      </c>
      <c r="D28" s="16">
        <v>0</v>
      </c>
      <c r="E28" s="16">
        <v>0</v>
      </c>
      <c r="F28" s="16">
        <v>1</v>
      </c>
      <c r="H28" s="12">
        <f t="shared" si="0"/>
        <v>20</v>
      </c>
      <c r="I28" s="13"/>
      <c r="J28" s="13"/>
      <c r="K28" s="13"/>
      <c r="L28" s="13"/>
      <c r="M28" s="13"/>
      <c r="N28" s="13"/>
      <c r="O28" s="13"/>
      <c r="P28" s="13"/>
      <c r="Q28" s="13"/>
    </row>
    <row r="29" spans="1:17" x14ac:dyDescent="0.2">
      <c r="A29" s="16">
        <v>56.58</v>
      </c>
      <c r="B29" s="16">
        <v>18.5</v>
      </c>
      <c r="C29" s="16">
        <v>15</v>
      </c>
      <c r="D29" s="16">
        <v>0</v>
      </c>
      <c r="E29" s="16">
        <v>0</v>
      </c>
      <c r="F29" s="16">
        <v>1</v>
      </c>
      <c r="H29" s="12">
        <f t="shared" si="0"/>
        <v>21</v>
      </c>
      <c r="I29" s="13"/>
      <c r="J29" s="13"/>
      <c r="K29" s="13"/>
      <c r="L29" s="13"/>
      <c r="M29" s="13"/>
      <c r="N29" s="13"/>
      <c r="O29" s="13"/>
      <c r="P29" s="13"/>
      <c r="Q29" s="13"/>
    </row>
    <row r="30" spans="1:17" x14ac:dyDescent="0.2">
      <c r="A30" s="16">
        <v>57.42</v>
      </c>
      <c r="B30" s="16">
        <v>8.5</v>
      </c>
      <c r="C30" s="16">
        <v>7</v>
      </c>
      <c r="D30" s="16">
        <v>0</v>
      </c>
      <c r="E30" s="16">
        <v>0</v>
      </c>
      <c r="F30" s="16">
        <v>1</v>
      </c>
      <c r="H30" s="12">
        <f t="shared" si="0"/>
        <v>22</v>
      </c>
      <c r="I30" s="13"/>
      <c r="J30" s="13"/>
      <c r="K30" s="13"/>
      <c r="L30" s="13"/>
      <c r="M30" s="13"/>
      <c r="N30" s="13"/>
      <c r="O30" s="13"/>
      <c r="P30" s="13"/>
      <c r="Q30" s="13"/>
    </row>
    <row r="31" spans="1:17" x14ac:dyDescent="0.2">
      <c r="A31" s="16">
        <v>42.08</v>
      </c>
      <c r="B31" s="16">
        <v>1.04</v>
      </c>
      <c r="C31" s="16">
        <v>5</v>
      </c>
      <c r="D31" s="16">
        <v>500</v>
      </c>
      <c r="E31" s="16">
        <v>10000</v>
      </c>
      <c r="F31" s="16">
        <v>1</v>
      </c>
      <c r="H31" s="12">
        <f t="shared" si="0"/>
        <v>23</v>
      </c>
      <c r="I31" s="13"/>
      <c r="J31" s="13"/>
      <c r="K31" s="13"/>
      <c r="L31" s="13"/>
      <c r="M31" s="13"/>
      <c r="N31" s="13"/>
      <c r="O31" s="13"/>
      <c r="P31" s="13"/>
      <c r="Q31" s="13"/>
    </row>
    <row r="32" spans="1:17" x14ac:dyDescent="0.2">
      <c r="A32" s="16">
        <v>29.25</v>
      </c>
      <c r="B32" s="16">
        <v>14.79</v>
      </c>
      <c r="C32" s="16">
        <v>5.04</v>
      </c>
      <c r="D32" s="16">
        <v>168</v>
      </c>
      <c r="E32" s="16">
        <v>0</v>
      </c>
      <c r="F32" s="16">
        <v>1</v>
      </c>
      <c r="H32" s="12">
        <f t="shared" si="0"/>
        <v>24</v>
      </c>
      <c r="I32" s="13"/>
      <c r="J32" s="13"/>
      <c r="K32" s="13"/>
      <c r="L32" s="13"/>
      <c r="M32" s="13"/>
      <c r="N32" s="13"/>
      <c r="O32" s="13"/>
      <c r="P32" s="13"/>
      <c r="Q32" s="13"/>
    </row>
    <row r="33" spans="1:17" x14ac:dyDescent="0.2">
      <c r="A33" s="16">
        <v>42</v>
      </c>
      <c r="B33" s="16">
        <v>9.7899999999999991</v>
      </c>
      <c r="C33" s="16">
        <v>7.96</v>
      </c>
      <c r="D33" s="16">
        <v>0</v>
      </c>
      <c r="E33" s="16">
        <v>0</v>
      </c>
      <c r="F33" s="16">
        <v>1</v>
      </c>
      <c r="H33" s="12">
        <f t="shared" si="0"/>
        <v>25</v>
      </c>
      <c r="I33" s="13"/>
      <c r="J33" s="13"/>
      <c r="K33" s="13"/>
      <c r="L33" s="13"/>
      <c r="M33" s="13"/>
      <c r="N33" s="13"/>
      <c r="O33" s="13"/>
      <c r="P33" s="13"/>
      <c r="Q33" s="13"/>
    </row>
    <row r="34" spans="1:17" x14ac:dyDescent="0.2">
      <c r="A34" s="16">
        <v>49.5</v>
      </c>
      <c r="B34" s="16">
        <v>7.585</v>
      </c>
      <c r="C34" s="16">
        <v>7.585</v>
      </c>
      <c r="D34" s="16">
        <v>0</v>
      </c>
      <c r="E34" s="16">
        <v>5000</v>
      </c>
      <c r="F34" s="16">
        <v>1</v>
      </c>
      <c r="H34" s="12">
        <f t="shared" si="0"/>
        <v>26</v>
      </c>
      <c r="I34" s="13"/>
      <c r="J34" s="13"/>
      <c r="K34" s="13"/>
      <c r="L34" s="13"/>
      <c r="M34" s="13"/>
      <c r="N34" s="13"/>
      <c r="O34" s="13"/>
      <c r="P34" s="13"/>
      <c r="Q34" s="13"/>
    </row>
    <row r="35" spans="1:17" x14ac:dyDescent="0.2">
      <c r="A35" s="16">
        <v>36.75</v>
      </c>
      <c r="B35" s="16">
        <v>5.125</v>
      </c>
      <c r="C35" s="16">
        <v>5</v>
      </c>
      <c r="D35" s="16">
        <v>0</v>
      </c>
      <c r="E35" s="16">
        <v>4000</v>
      </c>
      <c r="F35" s="16">
        <v>1</v>
      </c>
      <c r="H35" s="12">
        <f t="shared" si="0"/>
        <v>27</v>
      </c>
      <c r="I35" s="13"/>
      <c r="J35" s="13"/>
      <c r="K35" s="13"/>
      <c r="L35" s="13"/>
      <c r="M35" s="13"/>
      <c r="N35" s="13"/>
      <c r="O35" s="13"/>
      <c r="P35" s="13"/>
      <c r="Q35" s="13"/>
    </row>
    <row r="36" spans="1:17" x14ac:dyDescent="0.2">
      <c r="A36" s="16">
        <v>22.58</v>
      </c>
      <c r="B36" s="16">
        <v>10.75</v>
      </c>
      <c r="C36" s="16">
        <v>0.41499999999999998</v>
      </c>
      <c r="D36" s="16">
        <v>0</v>
      </c>
      <c r="E36" s="16">
        <v>560</v>
      </c>
      <c r="F36" s="16">
        <v>1</v>
      </c>
      <c r="H36" s="12">
        <f t="shared" si="0"/>
        <v>28</v>
      </c>
      <c r="I36" s="13"/>
      <c r="J36" s="13"/>
      <c r="K36" s="13"/>
      <c r="L36" s="13"/>
      <c r="M36" s="13"/>
      <c r="N36" s="13"/>
      <c r="O36" s="13"/>
      <c r="P36" s="13"/>
      <c r="Q36" s="13"/>
    </row>
    <row r="37" spans="1:17" x14ac:dyDescent="0.2">
      <c r="A37" s="16">
        <v>27.83</v>
      </c>
      <c r="B37" s="16">
        <v>1.5</v>
      </c>
      <c r="C37" s="16">
        <v>2</v>
      </c>
      <c r="D37" s="16">
        <v>434</v>
      </c>
      <c r="E37" s="16">
        <v>35</v>
      </c>
      <c r="F37" s="16">
        <v>1</v>
      </c>
      <c r="H37" s="14">
        <f t="shared" si="0"/>
        <v>29</v>
      </c>
      <c r="I37" s="13"/>
      <c r="J37" s="13"/>
      <c r="K37" s="13"/>
      <c r="L37" s="13"/>
      <c r="M37" s="13"/>
      <c r="N37" s="13"/>
      <c r="O37" s="13"/>
      <c r="P37" s="13"/>
      <c r="Q37" s="13"/>
    </row>
    <row r="38" spans="1:17" x14ac:dyDescent="0.2">
      <c r="A38" s="16">
        <v>27.25</v>
      </c>
      <c r="B38" s="16">
        <v>1.585</v>
      </c>
      <c r="C38" s="16">
        <v>1.835</v>
      </c>
      <c r="D38" s="16">
        <v>583</v>
      </c>
      <c r="E38" s="16">
        <v>713</v>
      </c>
      <c r="F38" s="16">
        <v>1</v>
      </c>
      <c r="H38" s="4">
        <f t="shared" si="0"/>
        <v>30</v>
      </c>
      <c r="I38" s="13"/>
      <c r="J38" s="13"/>
      <c r="K38" s="13"/>
      <c r="L38" s="13"/>
      <c r="M38" s="13"/>
      <c r="N38" s="13"/>
      <c r="O38" s="13"/>
      <c r="P38" s="13"/>
      <c r="Q38" s="13"/>
    </row>
    <row r="39" spans="1:17" x14ac:dyDescent="0.2">
      <c r="A39" s="16">
        <v>23</v>
      </c>
      <c r="B39" s="16">
        <v>11.75</v>
      </c>
      <c r="C39" s="16">
        <v>0.5</v>
      </c>
      <c r="D39" s="16">
        <v>300</v>
      </c>
      <c r="E39" s="16">
        <v>551</v>
      </c>
      <c r="F39" s="16">
        <v>1</v>
      </c>
      <c r="H39" s="4">
        <f t="shared" si="0"/>
        <v>31</v>
      </c>
      <c r="I39" s="13"/>
      <c r="J39" s="13"/>
      <c r="K39" s="13"/>
      <c r="L39" s="13"/>
      <c r="M39" s="13"/>
      <c r="N39" s="13"/>
      <c r="O39" s="13"/>
      <c r="P39" s="13"/>
      <c r="Q39" s="13"/>
    </row>
    <row r="40" spans="1:17" x14ac:dyDescent="0.2">
      <c r="A40" s="16">
        <v>27.75</v>
      </c>
      <c r="B40" s="16">
        <v>0.58499999999999996</v>
      </c>
      <c r="C40" s="16">
        <v>0.25</v>
      </c>
      <c r="D40" s="16">
        <v>260</v>
      </c>
      <c r="E40" s="16">
        <v>500</v>
      </c>
      <c r="F40" s="16">
        <v>1</v>
      </c>
      <c r="H40" s="4">
        <f t="shared" si="0"/>
        <v>32</v>
      </c>
      <c r="I40" s="13"/>
      <c r="J40" s="13"/>
      <c r="K40" s="13"/>
      <c r="L40" s="13"/>
      <c r="M40" s="13"/>
      <c r="N40" s="13"/>
      <c r="O40" s="13"/>
      <c r="P40" s="13"/>
      <c r="Q40" s="13"/>
    </row>
    <row r="41" spans="1:17" x14ac:dyDescent="0.2">
      <c r="A41" s="16">
        <v>54.58</v>
      </c>
      <c r="B41" s="16">
        <v>9.4149999999999991</v>
      </c>
      <c r="C41" s="16">
        <v>14.414999999999999</v>
      </c>
      <c r="D41" s="16">
        <v>30</v>
      </c>
      <c r="E41" s="16">
        <v>300</v>
      </c>
      <c r="F41" s="16">
        <v>1</v>
      </c>
      <c r="H41" s="4">
        <f t="shared" si="0"/>
        <v>33</v>
      </c>
      <c r="I41" s="13"/>
      <c r="J41" s="13"/>
      <c r="K41" s="13"/>
      <c r="L41" s="13"/>
      <c r="M41" s="13"/>
      <c r="N41" s="13"/>
      <c r="O41" s="13"/>
      <c r="P41" s="13"/>
      <c r="Q41" s="13"/>
    </row>
    <row r="42" spans="1:17" x14ac:dyDescent="0.2">
      <c r="A42" s="16">
        <v>34.17</v>
      </c>
      <c r="B42" s="16">
        <v>9.17</v>
      </c>
      <c r="C42" s="16">
        <v>4.5</v>
      </c>
      <c r="D42" s="16">
        <v>0</v>
      </c>
      <c r="E42" s="16">
        <v>221</v>
      </c>
      <c r="F42" s="16">
        <v>1</v>
      </c>
      <c r="H42" s="4">
        <f t="shared" si="0"/>
        <v>34</v>
      </c>
      <c r="I42" s="13"/>
      <c r="J42" s="13"/>
      <c r="K42" s="13"/>
      <c r="L42" s="13"/>
      <c r="M42" s="13"/>
      <c r="N42" s="13"/>
      <c r="O42" s="13"/>
      <c r="P42" s="13"/>
      <c r="Q42" s="13"/>
    </row>
    <row r="43" spans="1:17" x14ac:dyDescent="0.2">
      <c r="A43" s="16">
        <v>28.92</v>
      </c>
      <c r="B43" s="16">
        <v>15</v>
      </c>
      <c r="C43" s="16">
        <v>5.335</v>
      </c>
      <c r="D43" s="16">
        <v>0</v>
      </c>
      <c r="E43" s="16">
        <v>2283</v>
      </c>
      <c r="F43" s="16">
        <v>1</v>
      </c>
      <c r="H43" s="4">
        <f t="shared" si="0"/>
        <v>35</v>
      </c>
      <c r="I43" s="13"/>
      <c r="J43" s="13"/>
      <c r="K43" s="13"/>
      <c r="L43" s="13"/>
      <c r="M43" s="13"/>
      <c r="N43" s="13"/>
      <c r="O43" s="13"/>
      <c r="P43" s="13"/>
      <c r="Q43" s="13"/>
    </row>
    <row r="44" spans="1:17" x14ac:dyDescent="0.2">
      <c r="A44" s="16">
        <v>29.67</v>
      </c>
      <c r="B44" s="16">
        <v>1.415</v>
      </c>
      <c r="C44" s="16">
        <v>0.75</v>
      </c>
      <c r="D44" s="16">
        <v>240</v>
      </c>
      <c r="E44" s="16">
        <v>100</v>
      </c>
      <c r="F44" s="16">
        <v>1</v>
      </c>
      <c r="H44" s="4">
        <f t="shared" si="0"/>
        <v>36</v>
      </c>
      <c r="I44" s="13"/>
      <c r="J44" s="13"/>
      <c r="K44" s="13"/>
      <c r="L44" s="13"/>
      <c r="M44" s="13"/>
      <c r="N44" s="13"/>
      <c r="O44" s="13"/>
      <c r="P44" s="13"/>
      <c r="Q44" s="13"/>
    </row>
    <row r="45" spans="1:17" x14ac:dyDescent="0.2">
      <c r="A45" s="16">
        <v>39.58</v>
      </c>
      <c r="B45" s="16">
        <v>13.914999999999999</v>
      </c>
      <c r="C45" s="16">
        <v>8.625</v>
      </c>
      <c r="D45" s="16">
        <v>70</v>
      </c>
      <c r="E45" s="16">
        <v>0</v>
      </c>
      <c r="F45" s="16">
        <v>1</v>
      </c>
      <c r="H45" s="4">
        <f t="shared" si="0"/>
        <v>37</v>
      </c>
      <c r="I45" s="13"/>
      <c r="J45" s="13"/>
      <c r="K45" s="13"/>
      <c r="L45" s="13"/>
      <c r="M45" s="13"/>
      <c r="N45" s="13"/>
      <c r="O45" s="13"/>
      <c r="P45" s="13"/>
      <c r="Q45" s="13"/>
    </row>
    <row r="46" spans="1:17" x14ac:dyDescent="0.2">
      <c r="A46" s="16">
        <v>56.42</v>
      </c>
      <c r="B46" s="16">
        <v>28</v>
      </c>
      <c r="C46" s="16">
        <v>28.5</v>
      </c>
      <c r="D46" s="16">
        <v>0</v>
      </c>
      <c r="E46" s="16">
        <v>15</v>
      </c>
      <c r="F46" s="16">
        <v>1</v>
      </c>
      <c r="H46" s="4">
        <f t="shared" si="0"/>
        <v>38</v>
      </c>
      <c r="I46" s="13"/>
      <c r="J46" s="13"/>
      <c r="K46" s="13"/>
      <c r="L46" s="13"/>
      <c r="M46" s="13"/>
      <c r="N46" s="13"/>
      <c r="O46" s="13"/>
      <c r="P46" s="13"/>
      <c r="Q46" s="13"/>
    </row>
    <row r="47" spans="1:17" x14ac:dyDescent="0.2">
      <c r="A47" s="16">
        <v>54.33</v>
      </c>
      <c r="B47" s="16">
        <v>6.75</v>
      </c>
      <c r="C47" s="16">
        <v>2.625</v>
      </c>
      <c r="D47" s="16">
        <v>0</v>
      </c>
      <c r="E47" s="16">
        <v>284</v>
      </c>
      <c r="F47" s="16">
        <v>1</v>
      </c>
      <c r="H47" s="4">
        <f t="shared" si="0"/>
        <v>39</v>
      </c>
      <c r="I47" s="13"/>
      <c r="J47" s="13"/>
      <c r="K47" s="13"/>
      <c r="L47" s="13"/>
      <c r="M47" s="13"/>
      <c r="N47" s="13"/>
      <c r="O47" s="13"/>
      <c r="P47" s="13"/>
      <c r="Q47" s="13"/>
    </row>
    <row r="48" spans="1:17" x14ac:dyDescent="0.2">
      <c r="A48" s="16">
        <v>41</v>
      </c>
      <c r="B48" s="16">
        <v>2.04</v>
      </c>
      <c r="C48" s="16">
        <v>0.125</v>
      </c>
      <c r="D48" s="16">
        <v>455</v>
      </c>
      <c r="E48" s="16">
        <v>1236</v>
      </c>
      <c r="F48" s="16">
        <v>1</v>
      </c>
      <c r="H48" s="4">
        <f t="shared" si="0"/>
        <v>40</v>
      </c>
      <c r="I48" s="13"/>
      <c r="J48" s="13"/>
      <c r="K48" s="13"/>
      <c r="L48" s="13"/>
      <c r="M48" s="13"/>
      <c r="N48" s="13"/>
      <c r="O48" s="13"/>
      <c r="P48" s="13"/>
      <c r="Q48" s="13"/>
    </row>
    <row r="49" spans="1:17" x14ac:dyDescent="0.2">
      <c r="A49" s="16">
        <v>31.92</v>
      </c>
      <c r="B49" s="16">
        <v>4.46</v>
      </c>
      <c r="C49" s="16">
        <v>6.04</v>
      </c>
      <c r="D49" s="16">
        <v>311</v>
      </c>
      <c r="E49" s="16">
        <v>300</v>
      </c>
      <c r="F49" s="16">
        <v>1</v>
      </c>
      <c r="H49" s="4">
        <f t="shared" si="0"/>
        <v>41</v>
      </c>
      <c r="I49" s="13"/>
      <c r="J49" s="13"/>
      <c r="K49" s="13"/>
      <c r="L49" s="13"/>
      <c r="M49" s="13"/>
      <c r="N49" s="13"/>
      <c r="O49" s="13"/>
      <c r="P49" s="13"/>
      <c r="Q49" s="13"/>
    </row>
    <row r="50" spans="1:17" x14ac:dyDescent="0.2">
      <c r="A50" s="16">
        <v>41.5</v>
      </c>
      <c r="B50" s="16">
        <v>1.54</v>
      </c>
      <c r="C50" s="16">
        <v>3.5</v>
      </c>
      <c r="D50" s="16">
        <v>216</v>
      </c>
      <c r="E50" s="16">
        <v>0</v>
      </c>
      <c r="F50" s="16">
        <v>1</v>
      </c>
    </row>
    <row r="51" spans="1:17" x14ac:dyDescent="0.2">
      <c r="A51" s="16">
        <v>23.92</v>
      </c>
      <c r="B51" s="16">
        <v>0.66500000000000004</v>
      </c>
      <c r="C51" s="16">
        <v>0.16500000000000001</v>
      </c>
      <c r="D51" s="16">
        <v>100</v>
      </c>
      <c r="E51" s="16">
        <v>0</v>
      </c>
      <c r="F51" s="16">
        <v>1</v>
      </c>
    </row>
    <row r="52" spans="1:17" x14ac:dyDescent="0.2">
      <c r="A52" s="16">
        <v>25.75</v>
      </c>
      <c r="B52" s="16">
        <v>0.5</v>
      </c>
      <c r="C52" s="16">
        <v>0.875</v>
      </c>
      <c r="D52" s="16">
        <v>491</v>
      </c>
      <c r="E52" s="16">
        <v>0</v>
      </c>
      <c r="F52" s="16">
        <v>1</v>
      </c>
    </row>
    <row r="53" spans="1:17" x14ac:dyDescent="0.2">
      <c r="A53" s="16">
        <v>26</v>
      </c>
      <c r="B53" s="16">
        <v>1</v>
      </c>
      <c r="C53" s="16">
        <v>1.75</v>
      </c>
      <c r="D53" s="16">
        <v>280</v>
      </c>
      <c r="E53" s="16">
        <v>0</v>
      </c>
      <c r="F53" s="16">
        <v>1</v>
      </c>
    </row>
    <row r="54" spans="1:17" x14ac:dyDescent="0.2">
      <c r="A54" s="16">
        <v>37.42</v>
      </c>
      <c r="B54" s="16">
        <v>2.04</v>
      </c>
      <c r="C54" s="16">
        <v>0.04</v>
      </c>
      <c r="D54" s="16">
        <v>400</v>
      </c>
      <c r="E54" s="16">
        <v>5800</v>
      </c>
      <c r="F54" s="16">
        <v>1</v>
      </c>
    </row>
    <row r="55" spans="1:17" x14ac:dyDescent="0.2">
      <c r="A55" s="16">
        <v>34.92</v>
      </c>
      <c r="B55" s="16">
        <v>2.5</v>
      </c>
      <c r="C55" s="16">
        <v>0</v>
      </c>
      <c r="D55" s="16">
        <v>239</v>
      </c>
      <c r="E55" s="16">
        <v>200</v>
      </c>
      <c r="F55" s="16">
        <v>1</v>
      </c>
    </row>
    <row r="56" spans="1:17" x14ac:dyDescent="0.2">
      <c r="A56" s="16">
        <v>34.25</v>
      </c>
      <c r="B56" s="16">
        <v>3</v>
      </c>
      <c r="C56" s="16">
        <v>7.415</v>
      </c>
      <c r="D56" s="16">
        <v>0</v>
      </c>
      <c r="E56" s="16">
        <v>0</v>
      </c>
      <c r="F56" s="16">
        <v>1</v>
      </c>
    </row>
    <row r="57" spans="1:17" x14ac:dyDescent="0.2">
      <c r="A57" s="16">
        <v>23.33</v>
      </c>
      <c r="B57" s="16">
        <v>11.625</v>
      </c>
      <c r="C57" s="16">
        <v>0.83499999999999996</v>
      </c>
      <c r="D57" s="16">
        <v>160</v>
      </c>
      <c r="E57" s="16">
        <v>300</v>
      </c>
      <c r="F57" s="16">
        <v>1</v>
      </c>
    </row>
    <row r="58" spans="1:17" x14ac:dyDescent="0.2">
      <c r="A58" s="16">
        <v>23.17</v>
      </c>
      <c r="B58" s="16">
        <v>0</v>
      </c>
      <c r="C58" s="16">
        <v>8.5000000000000006E-2</v>
      </c>
      <c r="D58" s="16">
        <v>0</v>
      </c>
      <c r="E58" s="16">
        <v>0</v>
      </c>
      <c r="F58" s="16">
        <v>1</v>
      </c>
    </row>
    <row r="59" spans="1:17" x14ac:dyDescent="0.2">
      <c r="A59" s="16">
        <v>44.33</v>
      </c>
      <c r="B59" s="16">
        <v>0.5</v>
      </c>
      <c r="C59" s="16">
        <v>5</v>
      </c>
      <c r="D59" s="16">
        <v>320</v>
      </c>
      <c r="E59" s="16">
        <v>0</v>
      </c>
      <c r="F59" s="16">
        <v>1</v>
      </c>
    </row>
    <row r="60" spans="1:17" x14ac:dyDescent="0.2">
      <c r="A60" s="16">
        <v>30.83</v>
      </c>
      <c r="B60" s="16">
        <v>0</v>
      </c>
      <c r="C60" s="16">
        <v>1.25</v>
      </c>
      <c r="D60" s="16">
        <v>202</v>
      </c>
      <c r="E60" s="16">
        <v>0</v>
      </c>
      <c r="F60" s="16">
        <v>1</v>
      </c>
    </row>
    <row r="61" spans="1:17" x14ac:dyDescent="0.2">
      <c r="A61" s="16">
        <v>58.67</v>
      </c>
      <c r="B61" s="16">
        <v>4.46</v>
      </c>
      <c r="C61" s="16">
        <v>3.04</v>
      </c>
      <c r="D61" s="16">
        <v>43</v>
      </c>
      <c r="E61" s="16">
        <v>560</v>
      </c>
      <c r="F61" s="16">
        <v>1</v>
      </c>
    </row>
    <row r="62" spans="1:17" x14ac:dyDescent="0.2">
      <c r="A62" s="16">
        <v>24.5</v>
      </c>
      <c r="B62" s="16">
        <v>0.5</v>
      </c>
      <c r="C62" s="16">
        <v>1.5</v>
      </c>
      <c r="D62" s="16">
        <v>280</v>
      </c>
      <c r="E62" s="16">
        <v>824</v>
      </c>
      <c r="F62" s="16">
        <v>1</v>
      </c>
    </row>
    <row r="63" spans="1:17" x14ac:dyDescent="0.2">
      <c r="A63" s="16">
        <v>27.83</v>
      </c>
      <c r="B63" s="16">
        <v>1.54</v>
      </c>
      <c r="C63" s="16">
        <v>3.75</v>
      </c>
      <c r="D63" s="16">
        <v>100</v>
      </c>
      <c r="E63" s="16">
        <v>3</v>
      </c>
      <c r="F63" s="16">
        <v>1</v>
      </c>
    </row>
    <row r="64" spans="1:17" x14ac:dyDescent="0.2">
      <c r="A64" s="16">
        <v>20.170000000000002</v>
      </c>
      <c r="B64" s="16">
        <v>5.625</v>
      </c>
      <c r="C64" s="16">
        <v>1.71</v>
      </c>
      <c r="D64" s="16">
        <v>120</v>
      </c>
      <c r="E64" s="16">
        <v>0</v>
      </c>
      <c r="F64" s="16">
        <v>1</v>
      </c>
    </row>
    <row r="65" spans="1:6" x14ac:dyDescent="0.2">
      <c r="A65" s="16">
        <v>32.08</v>
      </c>
      <c r="B65" s="16">
        <v>4</v>
      </c>
      <c r="C65" s="16">
        <v>2.5</v>
      </c>
      <c r="D65" s="16">
        <v>360</v>
      </c>
      <c r="E65" s="16">
        <v>0</v>
      </c>
      <c r="F65" s="16">
        <v>1</v>
      </c>
    </row>
    <row r="66" spans="1:6" x14ac:dyDescent="0.2">
      <c r="A66" s="16">
        <v>33.17</v>
      </c>
      <c r="B66" s="16">
        <v>1.04</v>
      </c>
      <c r="C66" s="16">
        <v>6.5</v>
      </c>
      <c r="D66" s="16">
        <v>164</v>
      </c>
      <c r="E66" s="16">
        <v>31285</v>
      </c>
      <c r="F66" s="16">
        <v>1</v>
      </c>
    </row>
    <row r="67" spans="1:6" x14ac:dyDescent="0.2">
      <c r="A67" s="16">
        <v>22.92</v>
      </c>
      <c r="B67" s="16">
        <v>11.585000000000001</v>
      </c>
      <c r="C67" s="16">
        <v>0.04</v>
      </c>
      <c r="D67" s="16">
        <v>80</v>
      </c>
      <c r="E67" s="16">
        <v>1349</v>
      </c>
      <c r="F67" s="16">
        <v>1</v>
      </c>
    </row>
    <row r="68" spans="1:6" x14ac:dyDescent="0.2">
      <c r="A68" s="16">
        <v>54.42</v>
      </c>
      <c r="B68" s="16">
        <v>0.5</v>
      </c>
      <c r="C68" s="16">
        <v>3.96</v>
      </c>
      <c r="D68" s="16">
        <v>180</v>
      </c>
      <c r="E68" s="16">
        <v>314</v>
      </c>
      <c r="F68" s="16">
        <v>1</v>
      </c>
    </row>
    <row r="69" spans="1:6" x14ac:dyDescent="0.2">
      <c r="A69" s="16">
        <v>42.5</v>
      </c>
      <c r="B69" s="16">
        <v>4.915</v>
      </c>
      <c r="C69" s="16">
        <v>3.165</v>
      </c>
      <c r="D69" s="16">
        <v>52</v>
      </c>
      <c r="E69" s="16">
        <v>1442</v>
      </c>
      <c r="F69" s="16">
        <v>1</v>
      </c>
    </row>
    <row r="70" spans="1:6" x14ac:dyDescent="0.2">
      <c r="A70" s="16">
        <v>22.08</v>
      </c>
      <c r="B70" s="16">
        <v>0.83</v>
      </c>
      <c r="C70" s="16">
        <v>2.165</v>
      </c>
      <c r="D70" s="16">
        <v>128</v>
      </c>
      <c r="E70" s="16">
        <v>0</v>
      </c>
      <c r="F70" s="16">
        <v>1</v>
      </c>
    </row>
    <row r="71" spans="1:6" x14ac:dyDescent="0.2">
      <c r="A71" s="16">
        <v>29.92</v>
      </c>
      <c r="B71" s="16">
        <v>1.835</v>
      </c>
      <c r="C71" s="16">
        <v>4.335</v>
      </c>
      <c r="D71" s="16">
        <v>260</v>
      </c>
      <c r="E71" s="16">
        <v>200</v>
      </c>
      <c r="F71" s="16">
        <v>1</v>
      </c>
    </row>
    <row r="72" spans="1:6" x14ac:dyDescent="0.2">
      <c r="A72" s="16">
        <v>38.25</v>
      </c>
      <c r="B72" s="16">
        <v>6</v>
      </c>
      <c r="C72" s="16">
        <v>1</v>
      </c>
      <c r="D72" s="16">
        <v>0</v>
      </c>
      <c r="E72" s="16">
        <v>0</v>
      </c>
      <c r="F72" s="16">
        <v>1</v>
      </c>
    </row>
    <row r="73" spans="1:6" x14ac:dyDescent="0.2">
      <c r="A73" s="16">
        <v>48.08</v>
      </c>
      <c r="B73" s="16">
        <v>6.04</v>
      </c>
      <c r="C73" s="16">
        <v>0.04</v>
      </c>
      <c r="D73" s="16">
        <v>0</v>
      </c>
      <c r="E73" s="16">
        <v>2690</v>
      </c>
      <c r="F73" s="16">
        <v>1</v>
      </c>
    </row>
    <row r="74" spans="1:6" x14ac:dyDescent="0.2">
      <c r="A74" s="16">
        <v>45.83</v>
      </c>
      <c r="B74" s="16">
        <v>10.5</v>
      </c>
      <c r="C74" s="16">
        <v>5</v>
      </c>
      <c r="D74" s="16">
        <v>0</v>
      </c>
      <c r="E74" s="16">
        <v>0</v>
      </c>
      <c r="F74" s="16">
        <v>1</v>
      </c>
    </row>
    <row r="75" spans="1:6" x14ac:dyDescent="0.2">
      <c r="A75" s="16">
        <v>36.67</v>
      </c>
      <c r="B75" s="16">
        <v>4.415</v>
      </c>
      <c r="C75" s="16">
        <v>0.25</v>
      </c>
      <c r="D75" s="16">
        <v>320</v>
      </c>
      <c r="E75" s="16">
        <v>0</v>
      </c>
      <c r="F75" s="16">
        <v>1</v>
      </c>
    </row>
    <row r="76" spans="1:6" x14ac:dyDescent="0.2">
      <c r="A76" s="16">
        <v>20.67</v>
      </c>
      <c r="B76" s="16">
        <v>5.29</v>
      </c>
      <c r="C76" s="16">
        <v>0.375</v>
      </c>
      <c r="D76" s="16">
        <v>160</v>
      </c>
      <c r="E76" s="16">
        <v>0</v>
      </c>
      <c r="F76" s="16">
        <v>0</v>
      </c>
    </row>
    <row r="77" spans="1:6" x14ac:dyDescent="0.2">
      <c r="A77" s="16">
        <v>34.08</v>
      </c>
      <c r="B77" s="16">
        <v>6.5</v>
      </c>
      <c r="C77" s="16">
        <v>0.125</v>
      </c>
      <c r="D77" s="16">
        <v>443</v>
      </c>
      <c r="E77" s="16">
        <v>0</v>
      </c>
      <c r="F77" s="16">
        <v>0</v>
      </c>
    </row>
    <row r="78" spans="1:6" x14ac:dyDescent="0.2">
      <c r="A78" s="16">
        <v>19.170000000000002</v>
      </c>
      <c r="B78" s="16">
        <v>0.58499999999999996</v>
      </c>
      <c r="C78" s="16">
        <v>0.58499999999999996</v>
      </c>
      <c r="D78" s="16">
        <v>160</v>
      </c>
      <c r="E78" s="16">
        <v>0</v>
      </c>
      <c r="F78" s="16">
        <v>0</v>
      </c>
    </row>
    <row r="79" spans="1:6" x14ac:dyDescent="0.2">
      <c r="A79" s="16">
        <v>21.67</v>
      </c>
      <c r="B79" s="16">
        <v>1.165</v>
      </c>
      <c r="C79" s="16">
        <v>2.5</v>
      </c>
      <c r="D79" s="16">
        <v>180</v>
      </c>
      <c r="E79" s="16">
        <v>20</v>
      </c>
      <c r="F79" s="16">
        <v>0</v>
      </c>
    </row>
    <row r="80" spans="1:6" x14ac:dyDescent="0.2">
      <c r="A80" s="16">
        <v>21.5</v>
      </c>
      <c r="B80" s="16">
        <v>9.75</v>
      </c>
      <c r="C80" s="16">
        <v>0.25</v>
      </c>
      <c r="D80" s="16">
        <v>140</v>
      </c>
      <c r="E80" s="16">
        <v>0</v>
      </c>
      <c r="F80" s="16">
        <v>0</v>
      </c>
    </row>
    <row r="81" spans="1:6" x14ac:dyDescent="0.2">
      <c r="A81" s="16">
        <v>49.58</v>
      </c>
      <c r="B81" s="16">
        <v>19</v>
      </c>
      <c r="C81" s="16">
        <v>0</v>
      </c>
      <c r="D81" s="16">
        <v>94</v>
      </c>
      <c r="E81" s="16">
        <v>0</v>
      </c>
      <c r="F81" s="16">
        <v>0</v>
      </c>
    </row>
    <row r="82" spans="1:6" x14ac:dyDescent="0.2">
      <c r="A82" s="16">
        <v>27.67</v>
      </c>
      <c r="B82" s="16">
        <v>1.5</v>
      </c>
      <c r="C82" s="16">
        <v>2</v>
      </c>
      <c r="D82" s="16">
        <v>368</v>
      </c>
      <c r="E82" s="16">
        <v>0</v>
      </c>
      <c r="F82" s="16">
        <v>0</v>
      </c>
    </row>
    <row r="83" spans="1:6" x14ac:dyDescent="0.2">
      <c r="A83" s="16">
        <v>39.83</v>
      </c>
      <c r="B83" s="16">
        <v>0.5</v>
      </c>
      <c r="C83" s="16">
        <v>0.25</v>
      </c>
      <c r="D83" s="16">
        <v>288</v>
      </c>
      <c r="E83" s="16">
        <v>0</v>
      </c>
      <c r="F83" s="16">
        <v>0</v>
      </c>
    </row>
    <row r="84" spans="1:6" x14ac:dyDescent="0.2">
      <c r="A84" s="16">
        <v>27.25</v>
      </c>
      <c r="B84" s="16">
        <v>0.625</v>
      </c>
      <c r="C84" s="16">
        <v>0.45500000000000002</v>
      </c>
      <c r="D84" s="16">
        <v>200</v>
      </c>
      <c r="E84" s="16">
        <v>0</v>
      </c>
      <c r="F84" s="16">
        <v>0</v>
      </c>
    </row>
    <row r="85" spans="1:6" x14ac:dyDescent="0.2">
      <c r="A85" s="16">
        <v>37.17</v>
      </c>
      <c r="B85" s="16">
        <v>4</v>
      </c>
      <c r="C85" s="16">
        <v>5</v>
      </c>
      <c r="D85" s="16">
        <v>280</v>
      </c>
      <c r="E85" s="16">
        <v>0</v>
      </c>
      <c r="F85" s="16">
        <v>0</v>
      </c>
    </row>
    <row r="86" spans="1:6" x14ac:dyDescent="0.2">
      <c r="A86" s="16">
        <v>25.67</v>
      </c>
      <c r="B86" s="16">
        <v>2.21</v>
      </c>
      <c r="C86" s="16">
        <v>4</v>
      </c>
      <c r="D86" s="16">
        <v>188</v>
      </c>
      <c r="E86" s="16">
        <v>0</v>
      </c>
      <c r="F86" s="16">
        <v>0</v>
      </c>
    </row>
    <row r="87" spans="1:6" x14ac:dyDescent="0.2">
      <c r="A87" s="16">
        <v>34</v>
      </c>
      <c r="B87" s="16">
        <v>4.5</v>
      </c>
      <c r="C87" s="16">
        <v>1</v>
      </c>
      <c r="D87" s="16">
        <v>240</v>
      </c>
      <c r="E87" s="16">
        <v>0</v>
      </c>
      <c r="F87" s="16">
        <v>0</v>
      </c>
    </row>
    <row r="88" spans="1:6" x14ac:dyDescent="0.2">
      <c r="A88" s="16">
        <v>49</v>
      </c>
      <c r="B88" s="16">
        <v>1.5</v>
      </c>
      <c r="C88" s="16">
        <v>0</v>
      </c>
      <c r="D88" s="16">
        <v>100</v>
      </c>
      <c r="E88" s="16">
        <v>27</v>
      </c>
      <c r="F88" s="16">
        <v>0</v>
      </c>
    </row>
    <row r="89" spans="1:6" x14ac:dyDescent="0.2">
      <c r="A89" s="16">
        <v>62.5</v>
      </c>
      <c r="B89" s="16">
        <v>12.75</v>
      </c>
      <c r="C89" s="16">
        <v>5</v>
      </c>
      <c r="D89" s="16">
        <v>112</v>
      </c>
      <c r="E89" s="16">
        <v>0</v>
      </c>
      <c r="F89" s="16">
        <v>0</v>
      </c>
    </row>
    <row r="90" spans="1:6" x14ac:dyDescent="0.2">
      <c r="A90" s="16">
        <v>31.42</v>
      </c>
      <c r="B90" s="16">
        <v>15.5</v>
      </c>
      <c r="C90" s="16">
        <v>0.5</v>
      </c>
      <c r="D90" s="16">
        <v>120</v>
      </c>
      <c r="E90" s="16">
        <v>0</v>
      </c>
      <c r="F90" s="16">
        <v>0</v>
      </c>
    </row>
    <row r="91" spans="1:6" x14ac:dyDescent="0.2">
      <c r="A91" s="16">
        <v>52.33</v>
      </c>
      <c r="B91" s="16">
        <v>1.375</v>
      </c>
      <c r="C91" s="16">
        <v>9.4600000000000009</v>
      </c>
      <c r="D91" s="16">
        <v>200</v>
      </c>
      <c r="E91" s="16">
        <v>100</v>
      </c>
      <c r="F91" s="16">
        <v>0</v>
      </c>
    </row>
    <row r="92" spans="1:6" x14ac:dyDescent="0.2">
      <c r="A92" s="16">
        <v>28.75</v>
      </c>
      <c r="B92" s="16">
        <v>1.5</v>
      </c>
      <c r="C92" s="16">
        <v>1.5</v>
      </c>
      <c r="D92" s="16">
        <v>0</v>
      </c>
      <c r="E92" s="16">
        <v>225</v>
      </c>
      <c r="F92" s="16">
        <v>0</v>
      </c>
    </row>
    <row r="93" spans="1:6" x14ac:dyDescent="0.2">
      <c r="A93" s="16">
        <v>28.58</v>
      </c>
      <c r="B93" s="16">
        <v>3.54</v>
      </c>
      <c r="C93" s="16">
        <v>0.5</v>
      </c>
      <c r="D93" s="16">
        <v>171</v>
      </c>
      <c r="E93" s="16">
        <v>0</v>
      </c>
      <c r="F93" s="16">
        <v>0</v>
      </c>
    </row>
    <row r="94" spans="1:6" x14ac:dyDescent="0.2">
      <c r="A94" s="16">
        <v>23</v>
      </c>
      <c r="B94" s="16">
        <v>0.625</v>
      </c>
      <c r="C94" s="16">
        <v>0.125</v>
      </c>
      <c r="D94" s="16">
        <v>180</v>
      </c>
      <c r="E94" s="16">
        <v>1</v>
      </c>
      <c r="F94" s="16">
        <v>0</v>
      </c>
    </row>
    <row r="95" spans="1:6" x14ac:dyDescent="0.2">
      <c r="A95" s="16">
        <v>22.5</v>
      </c>
      <c r="B95" s="16">
        <v>11</v>
      </c>
      <c r="C95" s="16">
        <v>3</v>
      </c>
      <c r="D95" s="16">
        <v>268</v>
      </c>
      <c r="E95" s="16">
        <v>0</v>
      </c>
      <c r="F95" s="16">
        <v>0</v>
      </c>
    </row>
    <row r="96" spans="1:6" x14ac:dyDescent="0.2">
      <c r="A96" s="16">
        <v>28.5</v>
      </c>
      <c r="B96" s="16">
        <v>1</v>
      </c>
      <c r="C96" s="16">
        <v>1</v>
      </c>
      <c r="D96" s="16">
        <v>167</v>
      </c>
      <c r="E96" s="16">
        <v>500</v>
      </c>
      <c r="F96" s="16">
        <v>0</v>
      </c>
    </row>
    <row r="97" spans="1:6" x14ac:dyDescent="0.2">
      <c r="A97" s="16">
        <v>37.5</v>
      </c>
      <c r="B97" s="16">
        <v>1.75</v>
      </c>
      <c r="C97" s="16">
        <v>0.25</v>
      </c>
      <c r="D97" s="16">
        <v>164</v>
      </c>
      <c r="E97" s="16">
        <v>400</v>
      </c>
      <c r="F97" s="16">
        <v>0</v>
      </c>
    </row>
    <row r="98" spans="1:6" x14ac:dyDescent="0.2">
      <c r="A98" s="16">
        <v>35.25</v>
      </c>
      <c r="B98" s="16">
        <v>16.5</v>
      </c>
      <c r="C98" s="16">
        <v>4</v>
      </c>
      <c r="D98" s="16">
        <v>80</v>
      </c>
      <c r="E98" s="16">
        <v>0</v>
      </c>
      <c r="F98" s="16">
        <v>0</v>
      </c>
    </row>
    <row r="99" spans="1:6" x14ac:dyDescent="0.2">
      <c r="A99" s="16">
        <v>18.670000000000002</v>
      </c>
      <c r="B99" s="16">
        <v>5</v>
      </c>
      <c r="C99" s="16">
        <v>0.375</v>
      </c>
      <c r="D99" s="16">
        <v>0</v>
      </c>
      <c r="E99" s="16">
        <v>38</v>
      </c>
      <c r="F99" s="16">
        <v>0</v>
      </c>
    </row>
    <row r="100" spans="1:6" x14ac:dyDescent="0.2">
      <c r="A100" s="16">
        <v>25</v>
      </c>
      <c r="B100" s="16">
        <v>12</v>
      </c>
      <c r="C100" s="16">
        <v>2.25</v>
      </c>
      <c r="D100" s="16">
        <v>120</v>
      </c>
      <c r="E100" s="16">
        <v>5</v>
      </c>
      <c r="F100" s="16">
        <v>0</v>
      </c>
    </row>
    <row r="101" spans="1:6" x14ac:dyDescent="0.2">
      <c r="A101" s="16">
        <v>27.83</v>
      </c>
      <c r="B101" s="16">
        <v>4</v>
      </c>
      <c r="C101" s="16">
        <v>5.75</v>
      </c>
      <c r="D101" s="16">
        <v>75</v>
      </c>
      <c r="E101" s="16">
        <v>0</v>
      </c>
      <c r="F101" s="16">
        <v>0</v>
      </c>
    </row>
    <row r="102" spans="1:6" x14ac:dyDescent="0.2">
      <c r="A102" s="16">
        <v>54.83</v>
      </c>
      <c r="B102" s="16">
        <v>15.5</v>
      </c>
      <c r="C102" s="16">
        <v>0</v>
      </c>
      <c r="D102" s="16">
        <v>152</v>
      </c>
      <c r="E102" s="16">
        <v>130</v>
      </c>
      <c r="F102" s="16">
        <v>0</v>
      </c>
    </row>
    <row r="103" spans="1:6" x14ac:dyDescent="0.2">
      <c r="A103" s="16">
        <v>28.75</v>
      </c>
      <c r="B103" s="16">
        <v>1.165</v>
      </c>
      <c r="C103" s="16">
        <v>0.5</v>
      </c>
      <c r="D103" s="16">
        <v>280</v>
      </c>
      <c r="E103" s="16">
        <v>0</v>
      </c>
      <c r="F103" s="16">
        <v>0</v>
      </c>
    </row>
    <row r="104" spans="1:6" x14ac:dyDescent="0.2">
      <c r="A104" s="16">
        <v>25</v>
      </c>
      <c r="B104" s="16">
        <v>11</v>
      </c>
      <c r="C104" s="16">
        <v>4.5</v>
      </c>
      <c r="D104" s="16">
        <v>120</v>
      </c>
      <c r="E104" s="16">
        <v>0</v>
      </c>
      <c r="F104" s="16">
        <v>0</v>
      </c>
    </row>
    <row r="105" spans="1:6" x14ac:dyDescent="0.2">
      <c r="A105" s="16">
        <v>40.92</v>
      </c>
      <c r="B105" s="16">
        <v>2.25</v>
      </c>
      <c r="C105" s="16">
        <v>10</v>
      </c>
      <c r="D105" s="16">
        <v>176</v>
      </c>
      <c r="E105" s="16">
        <v>0</v>
      </c>
      <c r="F105" s="16">
        <v>0</v>
      </c>
    </row>
    <row r="106" spans="1:6" x14ac:dyDescent="0.2">
      <c r="A106" s="16">
        <v>19.75</v>
      </c>
      <c r="B106" s="16">
        <v>0.75</v>
      </c>
      <c r="C106" s="16">
        <v>0.79500000000000004</v>
      </c>
      <c r="D106" s="16">
        <v>140</v>
      </c>
      <c r="E106" s="16">
        <v>5</v>
      </c>
      <c r="F106" s="16">
        <v>0</v>
      </c>
    </row>
    <row r="107" spans="1:6" x14ac:dyDescent="0.2">
      <c r="A107" s="16">
        <v>29.17</v>
      </c>
      <c r="B107" s="16">
        <v>3.5</v>
      </c>
      <c r="C107" s="16">
        <v>3.5</v>
      </c>
      <c r="D107" s="16">
        <v>329</v>
      </c>
      <c r="E107" s="16">
        <v>0</v>
      </c>
      <c r="F107" s="16">
        <v>0</v>
      </c>
    </row>
    <row r="108" spans="1:6" x14ac:dyDescent="0.2">
      <c r="A108" s="16">
        <v>24.5</v>
      </c>
      <c r="B108" s="16">
        <v>1.04</v>
      </c>
      <c r="C108" s="16">
        <v>0.5</v>
      </c>
      <c r="D108" s="16">
        <v>180</v>
      </c>
      <c r="E108" s="16">
        <v>147</v>
      </c>
      <c r="F108" s="16">
        <v>0</v>
      </c>
    </row>
    <row r="109" spans="1:6" x14ac:dyDescent="0.2">
      <c r="A109" s="16">
        <v>24.58</v>
      </c>
      <c r="B109" s="16">
        <v>12.5</v>
      </c>
      <c r="C109" s="16">
        <v>0.875</v>
      </c>
      <c r="D109" s="16">
        <v>260</v>
      </c>
      <c r="E109" s="16">
        <v>0</v>
      </c>
      <c r="F109" s="16">
        <v>0</v>
      </c>
    </row>
    <row r="110" spans="1:6" x14ac:dyDescent="0.2">
      <c r="A110" s="16">
        <v>33.75</v>
      </c>
      <c r="B110" s="16">
        <v>0.75</v>
      </c>
      <c r="C110" s="16">
        <v>1</v>
      </c>
      <c r="D110" s="16">
        <v>212</v>
      </c>
      <c r="E110" s="16">
        <v>0</v>
      </c>
      <c r="F110" s="16">
        <v>0</v>
      </c>
    </row>
    <row r="111" spans="1:6" x14ac:dyDescent="0.2">
      <c r="A111" s="16">
        <v>20.67</v>
      </c>
      <c r="B111" s="16">
        <v>1.25</v>
      </c>
      <c r="C111" s="16">
        <v>1.375</v>
      </c>
      <c r="D111" s="16">
        <v>140</v>
      </c>
      <c r="E111" s="16">
        <v>210</v>
      </c>
      <c r="F111" s="16">
        <v>0</v>
      </c>
    </row>
    <row r="112" spans="1:6" x14ac:dyDescent="0.2">
      <c r="A112" s="16">
        <v>25.42</v>
      </c>
      <c r="B112" s="16">
        <v>1.125</v>
      </c>
      <c r="C112" s="16">
        <v>1.29</v>
      </c>
      <c r="D112" s="16">
        <v>200</v>
      </c>
      <c r="E112" s="16">
        <v>0</v>
      </c>
      <c r="F112" s="16">
        <v>0</v>
      </c>
    </row>
    <row r="113" spans="1:6" x14ac:dyDescent="0.2">
      <c r="A113" s="16">
        <v>37.75</v>
      </c>
      <c r="B113" s="16">
        <v>7</v>
      </c>
      <c r="C113" s="16">
        <v>11.5</v>
      </c>
      <c r="D113" s="16">
        <v>300</v>
      </c>
      <c r="E113" s="16">
        <v>5</v>
      </c>
      <c r="F113" s="16">
        <v>0</v>
      </c>
    </row>
    <row r="114" spans="1:6" x14ac:dyDescent="0.2">
      <c r="A114" s="16">
        <v>52.5</v>
      </c>
      <c r="B114" s="16">
        <v>6.5</v>
      </c>
      <c r="C114" s="16">
        <v>6.29</v>
      </c>
      <c r="D114" s="16">
        <v>0</v>
      </c>
      <c r="E114" s="16">
        <v>11202</v>
      </c>
      <c r="F114" s="16">
        <v>1</v>
      </c>
    </row>
    <row r="115" spans="1:6" x14ac:dyDescent="0.2">
      <c r="A115" s="16">
        <v>57.83</v>
      </c>
      <c r="B115" s="16">
        <v>7.04</v>
      </c>
      <c r="C115" s="16">
        <v>14</v>
      </c>
      <c r="D115" s="16">
        <v>360</v>
      </c>
      <c r="E115" s="16">
        <v>1332</v>
      </c>
      <c r="F115" s="16">
        <v>1</v>
      </c>
    </row>
    <row r="116" spans="1:6" x14ac:dyDescent="0.2">
      <c r="A116" s="16">
        <v>20.75</v>
      </c>
      <c r="B116" s="16">
        <v>10.335000000000001</v>
      </c>
      <c r="C116" s="16">
        <v>0.33500000000000002</v>
      </c>
      <c r="D116" s="16">
        <v>80</v>
      </c>
      <c r="E116" s="16">
        <v>50</v>
      </c>
      <c r="F116" s="16">
        <v>1</v>
      </c>
    </row>
    <row r="117" spans="1:6" x14ac:dyDescent="0.2">
      <c r="A117" s="16">
        <v>39.92</v>
      </c>
      <c r="B117" s="16">
        <v>6.21</v>
      </c>
      <c r="C117" s="16">
        <v>0.04</v>
      </c>
      <c r="D117" s="16">
        <v>200</v>
      </c>
      <c r="E117" s="16">
        <v>300</v>
      </c>
      <c r="F117" s="16">
        <v>1</v>
      </c>
    </row>
    <row r="118" spans="1:6" x14ac:dyDescent="0.2">
      <c r="A118" s="16">
        <v>25.67</v>
      </c>
      <c r="B118" s="16">
        <v>12.5</v>
      </c>
      <c r="C118" s="16">
        <v>1.21</v>
      </c>
      <c r="D118" s="16">
        <v>140</v>
      </c>
      <c r="E118" s="16">
        <v>258</v>
      </c>
      <c r="F118" s="16">
        <v>1</v>
      </c>
    </row>
    <row r="119" spans="1:6" x14ac:dyDescent="0.2">
      <c r="A119" s="16">
        <v>24.75</v>
      </c>
      <c r="B119" s="16">
        <v>12.5</v>
      </c>
      <c r="C119" s="16">
        <v>1.5</v>
      </c>
      <c r="D119" s="16">
        <v>120</v>
      </c>
      <c r="E119" s="16">
        <v>567</v>
      </c>
      <c r="F119" s="16">
        <v>1</v>
      </c>
    </row>
    <row r="120" spans="1:6" x14ac:dyDescent="0.2">
      <c r="A120" s="16">
        <v>44.17</v>
      </c>
      <c r="B120" s="16">
        <v>6.665</v>
      </c>
      <c r="C120" s="16">
        <v>7.375</v>
      </c>
      <c r="D120" s="16">
        <v>0</v>
      </c>
      <c r="E120" s="16">
        <v>0</v>
      </c>
      <c r="F120" s="16">
        <v>1</v>
      </c>
    </row>
    <row r="121" spans="1:6" x14ac:dyDescent="0.2">
      <c r="A121" s="16">
        <v>23.5</v>
      </c>
      <c r="B121" s="16">
        <v>9</v>
      </c>
      <c r="C121" s="16">
        <v>8.5</v>
      </c>
      <c r="D121" s="16">
        <v>120</v>
      </c>
      <c r="E121" s="16">
        <v>0</v>
      </c>
      <c r="F121" s="16">
        <v>1</v>
      </c>
    </row>
    <row r="122" spans="1:6" x14ac:dyDescent="0.2">
      <c r="A122" s="16">
        <v>34.92</v>
      </c>
      <c r="B122" s="16">
        <v>5</v>
      </c>
      <c r="C122" s="16">
        <v>7.5</v>
      </c>
      <c r="D122" s="16">
        <v>0</v>
      </c>
      <c r="E122" s="16">
        <v>1000</v>
      </c>
      <c r="F122" s="16">
        <v>1</v>
      </c>
    </row>
    <row r="123" spans="1:6" x14ac:dyDescent="0.2">
      <c r="A123" s="16">
        <v>47.67</v>
      </c>
      <c r="B123" s="16">
        <v>2.5</v>
      </c>
      <c r="C123" s="16">
        <v>2.5</v>
      </c>
      <c r="D123" s="16">
        <v>410</v>
      </c>
      <c r="E123" s="16">
        <v>2510</v>
      </c>
      <c r="F123" s="16">
        <v>1</v>
      </c>
    </row>
    <row r="124" spans="1:6" x14ac:dyDescent="0.2">
      <c r="A124" s="16">
        <v>22.75</v>
      </c>
      <c r="B124" s="16">
        <v>11</v>
      </c>
      <c r="C124" s="16">
        <v>2.5</v>
      </c>
      <c r="D124" s="16">
        <v>100</v>
      </c>
      <c r="E124" s="16">
        <v>809</v>
      </c>
      <c r="F124" s="16">
        <v>1</v>
      </c>
    </row>
    <row r="125" spans="1:6" x14ac:dyDescent="0.2">
      <c r="A125" s="16">
        <v>34.42</v>
      </c>
      <c r="B125" s="16">
        <v>4.25</v>
      </c>
      <c r="C125" s="16">
        <v>3.25</v>
      </c>
      <c r="D125" s="16">
        <v>274</v>
      </c>
      <c r="E125" s="16">
        <v>610</v>
      </c>
      <c r="F125" s="16">
        <v>1</v>
      </c>
    </row>
    <row r="126" spans="1:6" x14ac:dyDescent="0.2">
      <c r="A126" s="16">
        <v>28.42</v>
      </c>
      <c r="B126" s="16">
        <v>3.5</v>
      </c>
      <c r="C126" s="16">
        <v>0.83499999999999996</v>
      </c>
      <c r="D126" s="16">
        <v>280</v>
      </c>
      <c r="E126" s="16">
        <v>0</v>
      </c>
      <c r="F126" s="16">
        <v>1</v>
      </c>
    </row>
    <row r="127" spans="1:6" x14ac:dyDescent="0.2">
      <c r="A127" s="16">
        <v>67.75</v>
      </c>
      <c r="B127" s="16">
        <v>5.5</v>
      </c>
      <c r="C127" s="16">
        <v>13</v>
      </c>
      <c r="D127" s="16">
        <v>0</v>
      </c>
      <c r="E127" s="16">
        <v>0</v>
      </c>
      <c r="F127" s="16">
        <v>1</v>
      </c>
    </row>
    <row r="128" spans="1:6" x14ac:dyDescent="0.2">
      <c r="A128" s="16">
        <v>20.420000000000002</v>
      </c>
      <c r="B128" s="16">
        <v>1.835</v>
      </c>
      <c r="C128" s="16">
        <v>2.25</v>
      </c>
      <c r="D128" s="16">
        <v>100</v>
      </c>
      <c r="E128" s="16">
        <v>150</v>
      </c>
      <c r="F128" s="16">
        <v>1</v>
      </c>
    </row>
    <row r="129" spans="1:6" x14ac:dyDescent="0.2">
      <c r="A129" s="16">
        <v>47.42</v>
      </c>
      <c r="B129" s="16">
        <v>8</v>
      </c>
      <c r="C129" s="16">
        <v>6.5</v>
      </c>
      <c r="D129" s="16">
        <v>375</v>
      </c>
      <c r="E129" s="16">
        <v>51100</v>
      </c>
      <c r="F129" s="16">
        <v>1</v>
      </c>
    </row>
    <row r="130" spans="1:6" x14ac:dyDescent="0.2">
      <c r="A130" s="16">
        <v>36.25</v>
      </c>
      <c r="B130" s="16">
        <v>5</v>
      </c>
      <c r="C130" s="16">
        <v>2.5</v>
      </c>
      <c r="D130" s="16">
        <v>0</v>
      </c>
      <c r="E130" s="16">
        <v>367</v>
      </c>
      <c r="F130" s="16">
        <v>1</v>
      </c>
    </row>
    <row r="131" spans="1:6" x14ac:dyDescent="0.2">
      <c r="A131" s="16">
        <v>32.67</v>
      </c>
      <c r="B131" s="16">
        <v>5.5</v>
      </c>
      <c r="C131" s="16">
        <v>5.5</v>
      </c>
      <c r="D131" s="16">
        <v>408</v>
      </c>
      <c r="E131" s="16">
        <v>1000</v>
      </c>
      <c r="F131" s="16">
        <v>1</v>
      </c>
    </row>
    <row r="132" spans="1:6" x14ac:dyDescent="0.2">
      <c r="A132" s="16">
        <v>48.58</v>
      </c>
      <c r="B132" s="16">
        <v>6.5</v>
      </c>
      <c r="C132" s="16">
        <v>6</v>
      </c>
      <c r="D132" s="16">
        <v>350</v>
      </c>
      <c r="E132" s="16">
        <v>0</v>
      </c>
      <c r="F132" s="16">
        <v>1</v>
      </c>
    </row>
    <row r="133" spans="1:6" x14ac:dyDescent="0.2">
      <c r="A133" s="16">
        <v>39.92</v>
      </c>
      <c r="B133" s="16">
        <v>0.54</v>
      </c>
      <c r="C133" s="16">
        <v>0.5</v>
      </c>
      <c r="D133" s="16">
        <v>200</v>
      </c>
      <c r="E133" s="16">
        <v>1000</v>
      </c>
      <c r="F133" s="16">
        <v>1</v>
      </c>
    </row>
    <row r="134" spans="1:6" x14ac:dyDescent="0.2">
      <c r="A134" s="16">
        <v>33.58</v>
      </c>
      <c r="B134" s="16">
        <v>2.75</v>
      </c>
      <c r="C134" s="16">
        <v>4.25</v>
      </c>
      <c r="D134" s="16">
        <v>204</v>
      </c>
      <c r="E134" s="16">
        <v>0</v>
      </c>
      <c r="F134" s="16">
        <v>1</v>
      </c>
    </row>
    <row r="135" spans="1:6" x14ac:dyDescent="0.2">
      <c r="A135" s="16">
        <v>18.829999999999998</v>
      </c>
      <c r="B135" s="16">
        <v>9.5</v>
      </c>
      <c r="C135" s="16">
        <v>1.625</v>
      </c>
      <c r="D135" s="16">
        <v>40</v>
      </c>
      <c r="E135" s="16">
        <v>600</v>
      </c>
      <c r="F135" s="16">
        <v>1</v>
      </c>
    </row>
    <row r="136" spans="1:6" x14ac:dyDescent="0.2">
      <c r="A136" s="16">
        <v>26.92</v>
      </c>
      <c r="B136" s="16">
        <v>13.5</v>
      </c>
      <c r="C136" s="16">
        <v>5</v>
      </c>
      <c r="D136" s="16">
        <v>0</v>
      </c>
      <c r="E136" s="16">
        <v>5000</v>
      </c>
      <c r="F136" s="16">
        <v>1</v>
      </c>
    </row>
    <row r="137" spans="1:6" x14ac:dyDescent="0.2">
      <c r="A137" s="16">
        <v>31.25</v>
      </c>
      <c r="B137" s="16">
        <v>3.75</v>
      </c>
      <c r="C137" s="16">
        <v>0.625</v>
      </c>
      <c r="D137" s="16">
        <v>181</v>
      </c>
      <c r="E137" s="16">
        <v>0</v>
      </c>
      <c r="F137" s="16">
        <v>1</v>
      </c>
    </row>
    <row r="138" spans="1:6" x14ac:dyDescent="0.2">
      <c r="A138" s="16">
        <v>56.5</v>
      </c>
      <c r="B138" s="16">
        <v>16</v>
      </c>
      <c r="C138" s="16">
        <v>0</v>
      </c>
      <c r="D138" s="16">
        <v>0</v>
      </c>
      <c r="E138" s="16">
        <v>247</v>
      </c>
      <c r="F138" s="16">
        <v>1</v>
      </c>
    </row>
    <row r="139" spans="1:6" x14ac:dyDescent="0.2">
      <c r="A139" s="16">
        <v>43</v>
      </c>
      <c r="B139" s="16">
        <v>0.28999999999999998</v>
      </c>
      <c r="C139" s="16">
        <v>1.75</v>
      </c>
      <c r="D139" s="16">
        <v>100</v>
      </c>
      <c r="E139" s="16">
        <v>375</v>
      </c>
      <c r="F139" s="16">
        <v>1</v>
      </c>
    </row>
    <row r="140" spans="1:6" x14ac:dyDescent="0.2">
      <c r="A140" s="16">
        <v>22.33</v>
      </c>
      <c r="B140" s="16">
        <v>11</v>
      </c>
      <c r="C140" s="16">
        <v>2</v>
      </c>
      <c r="D140" s="16">
        <v>80</v>
      </c>
      <c r="E140" s="16">
        <v>278</v>
      </c>
      <c r="F140" s="16">
        <v>1</v>
      </c>
    </row>
    <row r="141" spans="1:6" x14ac:dyDescent="0.2">
      <c r="A141" s="16">
        <v>27.25</v>
      </c>
      <c r="B141" s="16">
        <v>1.665</v>
      </c>
      <c r="C141" s="16">
        <v>5.085</v>
      </c>
      <c r="D141" s="16">
        <v>399</v>
      </c>
      <c r="E141" s="16">
        <v>827</v>
      </c>
      <c r="F141" s="16">
        <v>1</v>
      </c>
    </row>
    <row r="142" spans="1:6" x14ac:dyDescent="0.2">
      <c r="A142" s="16">
        <v>32.83</v>
      </c>
      <c r="B142" s="16">
        <v>2.5</v>
      </c>
      <c r="C142" s="16">
        <v>2.75</v>
      </c>
      <c r="D142" s="16">
        <v>160</v>
      </c>
      <c r="E142" s="16">
        <v>2072</v>
      </c>
      <c r="F142" s="16">
        <v>1</v>
      </c>
    </row>
    <row r="143" spans="1:6" x14ac:dyDescent="0.2">
      <c r="A143" s="16">
        <v>23.25</v>
      </c>
      <c r="B143" s="16">
        <v>1.5</v>
      </c>
      <c r="C143" s="16">
        <v>2.375</v>
      </c>
      <c r="D143" s="16">
        <v>0</v>
      </c>
      <c r="E143" s="16">
        <v>582</v>
      </c>
      <c r="F143" s="16">
        <v>1</v>
      </c>
    </row>
    <row r="144" spans="1:6" x14ac:dyDescent="0.2">
      <c r="A144" s="16">
        <v>40.33</v>
      </c>
      <c r="B144" s="16">
        <v>7.54</v>
      </c>
      <c r="C144" s="16">
        <v>8</v>
      </c>
      <c r="D144" s="16">
        <v>0</v>
      </c>
      <c r="E144" s="16">
        <v>2300</v>
      </c>
      <c r="F144" s="16">
        <v>1</v>
      </c>
    </row>
    <row r="145" spans="1:6" x14ac:dyDescent="0.2">
      <c r="A145" s="16">
        <v>30.5</v>
      </c>
      <c r="B145" s="16">
        <v>6.5</v>
      </c>
      <c r="C145" s="16">
        <v>4</v>
      </c>
      <c r="D145" s="16">
        <v>0</v>
      </c>
      <c r="E145" s="16">
        <v>3065</v>
      </c>
      <c r="F145" s="16">
        <v>1</v>
      </c>
    </row>
    <row r="146" spans="1:6" x14ac:dyDescent="0.2">
      <c r="A146" s="16">
        <v>52.83</v>
      </c>
      <c r="B146" s="16">
        <v>15</v>
      </c>
      <c r="C146" s="16">
        <v>5.5</v>
      </c>
      <c r="D146" s="16">
        <v>0</v>
      </c>
      <c r="E146" s="16">
        <v>2200</v>
      </c>
      <c r="F146" s="16">
        <v>1</v>
      </c>
    </row>
    <row r="147" spans="1:6" x14ac:dyDescent="0.2">
      <c r="A147" s="16">
        <v>46.67</v>
      </c>
      <c r="B147" s="16">
        <v>0.46</v>
      </c>
      <c r="C147" s="16">
        <v>0.41499999999999998</v>
      </c>
      <c r="D147" s="16">
        <v>440</v>
      </c>
      <c r="E147" s="16">
        <v>6</v>
      </c>
      <c r="F147" s="16">
        <v>1</v>
      </c>
    </row>
    <row r="148" spans="1:6" x14ac:dyDescent="0.2">
      <c r="A148" s="16">
        <v>58.33</v>
      </c>
      <c r="B148" s="16">
        <v>10</v>
      </c>
      <c r="C148" s="16">
        <v>4</v>
      </c>
      <c r="D148" s="16">
        <v>0</v>
      </c>
      <c r="E148" s="16">
        <v>1602</v>
      </c>
      <c r="F148" s="16">
        <v>1</v>
      </c>
    </row>
    <row r="149" spans="1:6" x14ac:dyDescent="0.2">
      <c r="A149" s="16">
        <v>37.33</v>
      </c>
      <c r="B149" s="16">
        <v>6.5</v>
      </c>
      <c r="C149" s="16">
        <v>4.25</v>
      </c>
      <c r="D149" s="16">
        <v>93</v>
      </c>
      <c r="E149" s="16">
        <v>0</v>
      </c>
      <c r="F149" s="16">
        <v>1</v>
      </c>
    </row>
    <row r="150" spans="1:6" x14ac:dyDescent="0.2">
      <c r="A150" s="16">
        <v>23.08</v>
      </c>
      <c r="B150" s="16">
        <v>2.5</v>
      </c>
      <c r="C150" s="16">
        <v>1.085</v>
      </c>
      <c r="D150" s="16">
        <v>60</v>
      </c>
      <c r="E150" s="16">
        <v>2184</v>
      </c>
      <c r="F150" s="16">
        <v>1</v>
      </c>
    </row>
    <row r="151" spans="1:6" x14ac:dyDescent="0.2">
      <c r="A151" s="16">
        <v>32.75</v>
      </c>
      <c r="B151" s="16">
        <v>1.5</v>
      </c>
      <c r="C151" s="16">
        <v>5.5</v>
      </c>
      <c r="D151" s="16">
        <v>0</v>
      </c>
      <c r="E151" s="16">
        <v>0</v>
      </c>
      <c r="F151" s="16">
        <v>1</v>
      </c>
    </row>
    <row r="152" spans="1:6" x14ac:dyDescent="0.2">
      <c r="A152" s="16">
        <v>21.67</v>
      </c>
      <c r="B152" s="16">
        <v>11.5</v>
      </c>
      <c r="C152" s="16">
        <v>0</v>
      </c>
      <c r="D152" s="16">
        <v>0</v>
      </c>
      <c r="E152" s="16">
        <v>0</v>
      </c>
      <c r="F152" s="16">
        <v>1</v>
      </c>
    </row>
    <row r="153" spans="1:6" x14ac:dyDescent="0.2">
      <c r="A153" s="16">
        <v>28.5</v>
      </c>
      <c r="B153" s="16">
        <v>3.04</v>
      </c>
      <c r="C153" s="16">
        <v>2.54</v>
      </c>
      <c r="D153" s="16">
        <v>70</v>
      </c>
      <c r="E153" s="16">
        <v>0</v>
      </c>
      <c r="F153" s="16">
        <v>1</v>
      </c>
    </row>
    <row r="154" spans="1:6" x14ac:dyDescent="0.2">
      <c r="A154" s="16">
        <v>68.67</v>
      </c>
      <c r="B154" s="16">
        <v>15</v>
      </c>
      <c r="C154" s="16">
        <v>0</v>
      </c>
      <c r="D154" s="16">
        <v>0</v>
      </c>
      <c r="E154" s="16">
        <v>3376</v>
      </c>
      <c r="F154" s="16">
        <v>1</v>
      </c>
    </row>
    <row r="155" spans="1:6" x14ac:dyDescent="0.2">
      <c r="A155" s="16">
        <v>28</v>
      </c>
      <c r="B155" s="16">
        <v>2</v>
      </c>
      <c r="C155" s="16">
        <v>4.165</v>
      </c>
      <c r="D155" s="16">
        <v>181</v>
      </c>
      <c r="E155" s="16">
        <v>0</v>
      </c>
      <c r="F155" s="16">
        <v>1</v>
      </c>
    </row>
    <row r="156" spans="1:6" x14ac:dyDescent="0.2">
      <c r="A156" s="16">
        <v>34.08</v>
      </c>
      <c r="B156" s="16">
        <v>0.08</v>
      </c>
      <c r="C156" s="16">
        <v>0.04</v>
      </c>
      <c r="D156" s="16">
        <v>280</v>
      </c>
      <c r="E156" s="16">
        <v>2000</v>
      </c>
      <c r="F156" s="16">
        <v>1</v>
      </c>
    </row>
    <row r="157" spans="1:6" x14ac:dyDescent="0.2">
      <c r="A157" s="16">
        <v>27.67</v>
      </c>
      <c r="B157" s="16">
        <v>2</v>
      </c>
      <c r="C157" s="16">
        <v>1</v>
      </c>
      <c r="D157" s="16">
        <v>140</v>
      </c>
      <c r="E157" s="16">
        <v>7544</v>
      </c>
      <c r="F157" s="16">
        <v>1</v>
      </c>
    </row>
    <row r="158" spans="1:6" x14ac:dyDescent="0.2">
      <c r="A158" s="16">
        <v>44</v>
      </c>
      <c r="B158" s="16">
        <v>2</v>
      </c>
      <c r="C158" s="16">
        <v>1.75</v>
      </c>
      <c r="D158" s="16">
        <v>0</v>
      </c>
      <c r="E158" s="16">
        <v>15</v>
      </c>
      <c r="F158" s="16">
        <v>1</v>
      </c>
    </row>
    <row r="159" spans="1:6" x14ac:dyDescent="0.2">
      <c r="A159" s="16">
        <v>25.08</v>
      </c>
      <c r="B159" s="16">
        <v>1.71</v>
      </c>
      <c r="C159" s="16">
        <v>1.665</v>
      </c>
      <c r="D159" s="16">
        <v>395</v>
      </c>
      <c r="E159" s="16">
        <v>20</v>
      </c>
      <c r="F159" s="16">
        <v>1</v>
      </c>
    </row>
    <row r="160" spans="1:6" x14ac:dyDescent="0.2">
      <c r="A160" s="16">
        <v>32</v>
      </c>
      <c r="B160" s="16">
        <v>1.75</v>
      </c>
      <c r="C160" s="16">
        <v>0.04</v>
      </c>
      <c r="D160" s="16">
        <v>393</v>
      </c>
      <c r="E160" s="16">
        <v>0</v>
      </c>
      <c r="F160" s="16">
        <v>1</v>
      </c>
    </row>
    <row r="161" spans="1:6" x14ac:dyDescent="0.2">
      <c r="A161" s="16">
        <v>60.58</v>
      </c>
      <c r="B161" s="16">
        <v>16.5</v>
      </c>
      <c r="C161" s="16">
        <v>11</v>
      </c>
      <c r="D161" s="16">
        <v>21</v>
      </c>
      <c r="E161" s="16">
        <v>10561</v>
      </c>
      <c r="F161" s="16">
        <v>1</v>
      </c>
    </row>
    <row r="162" spans="1:6" x14ac:dyDescent="0.2">
      <c r="A162" s="16">
        <v>40.83</v>
      </c>
      <c r="B162" s="16">
        <v>10</v>
      </c>
      <c r="C162" s="16">
        <v>1.75</v>
      </c>
      <c r="D162" s="16">
        <v>29</v>
      </c>
      <c r="E162" s="16">
        <v>837</v>
      </c>
      <c r="F162" s="16">
        <v>1</v>
      </c>
    </row>
    <row r="163" spans="1:6" x14ac:dyDescent="0.2">
      <c r="A163" s="16">
        <v>19.329999999999998</v>
      </c>
      <c r="B163" s="16">
        <v>9.5</v>
      </c>
      <c r="C163" s="16">
        <v>1</v>
      </c>
      <c r="D163" s="16">
        <v>60</v>
      </c>
      <c r="E163" s="16">
        <v>400</v>
      </c>
      <c r="F163" s="16">
        <v>1</v>
      </c>
    </row>
    <row r="164" spans="1:6" x14ac:dyDescent="0.2">
      <c r="A164" s="16">
        <v>32.33</v>
      </c>
      <c r="B164" s="16">
        <v>0.54</v>
      </c>
      <c r="C164" s="16">
        <v>0.04</v>
      </c>
      <c r="D164" s="16">
        <v>440</v>
      </c>
      <c r="E164" s="16">
        <v>11177</v>
      </c>
      <c r="F164" s="16">
        <v>1</v>
      </c>
    </row>
    <row r="165" spans="1:6" x14ac:dyDescent="0.2">
      <c r="A165" s="16">
        <v>36.67</v>
      </c>
      <c r="B165" s="16">
        <v>3.25</v>
      </c>
      <c r="C165" s="16">
        <v>9</v>
      </c>
      <c r="D165" s="16">
        <v>102</v>
      </c>
      <c r="E165" s="16">
        <v>639</v>
      </c>
      <c r="F165" s="16">
        <v>1</v>
      </c>
    </row>
    <row r="166" spans="1:6" x14ac:dyDescent="0.2">
      <c r="A166" s="16">
        <v>37.5</v>
      </c>
      <c r="B166" s="16">
        <v>1.125</v>
      </c>
      <c r="C166" s="16">
        <v>1.5</v>
      </c>
      <c r="D166" s="16">
        <v>431</v>
      </c>
      <c r="E166" s="16">
        <v>0</v>
      </c>
      <c r="F166" s="16">
        <v>1</v>
      </c>
    </row>
    <row r="167" spans="1:6" x14ac:dyDescent="0.2">
      <c r="A167" s="16">
        <v>25.08</v>
      </c>
      <c r="B167" s="16">
        <v>2.54</v>
      </c>
      <c r="C167" s="16">
        <v>0.25</v>
      </c>
      <c r="D167" s="16">
        <v>370</v>
      </c>
      <c r="E167" s="16">
        <v>0</v>
      </c>
      <c r="F167" s="16">
        <v>1</v>
      </c>
    </row>
    <row r="168" spans="1:6" x14ac:dyDescent="0.2">
      <c r="A168" s="16">
        <v>41.33</v>
      </c>
      <c r="B168" s="16">
        <v>0</v>
      </c>
      <c r="C168" s="16">
        <v>15</v>
      </c>
      <c r="D168" s="16">
        <v>0</v>
      </c>
      <c r="E168" s="16">
        <v>0</v>
      </c>
      <c r="F168" s="16">
        <v>1</v>
      </c>
    </row>
    <row r="169" spans="1:6" x14ac:dyDescent="0.2">
      <c r="A169" s="16">
        <v>56</v>
      </c>
      <c r="B169" s="16">
        <v>12.5</v>
      </c>
      <c r="C169" s="16">
        <v>8</v>
      </c>
      <c r="D169" s="16">
        <v>24</v>
      </c>
      <c r="E169" s="16">
        <v>2028</v>
      </c>
      <c r="F169" s="16">
        <v>1</v>
      </c>
    </row>
    <row r="170" spans="1:6" x14ac:dyDescent="0.2">
      <c r="A170" s="16">
        <v>49.83</v>
      </c>
      <c r="B170" s="16">
        <v>13.585000000000001</v>
      </c>
      <c r="C170" s="16">
        <v>8.5</v>
      </c>
      <c r="D170" s="16">
        <v>0</v>
      </c>
      <c r="E170" s="16">
        <v>0</v>
      </c>
      <c r="F170" s="16">
        <v>1</v>
      </c>
    </row>
    <row r="171" spans="1:6" x14ac:dyDescent="0.2">
      <c r="A171" s="16">
        <v>22.67</v>
      </c>
      <c r="B171" s="16">
        <v>10.5</v>
      </c>
      <c r="C171" s="16">
        <v>1.335</v>
      </c>
      <c r="D171" s="16">
        <v>100</v>
      </c>
      <c r="E171" s="16">
        <v>0</v>
      </c>
      <c r="F171" s="16">
        <v>1</v>
      </c>
    </row>
    <row r="172" spans="1:6" x14ac:dyDescent="0.2">
      <c r="A172" s="16">
        <v>27</v>
      </c>
      <c r="B172" s="16">
        <v>1.5</v>
      </c>
      <c r="C172" s="16">
        <v>0.375</v>
      </c>
      <c r="D172" s="16">
        <v>260</v>
      </c>
      <c r="E172" s="16">
        <v>1065</v>
      </c>
      <c r="F172" s="16">
        <v>1</v>
      </c>
    </row>
    <row r="173" spans="1:6" x14ac:dyDescent="0.2">
      <c r="A173" s="16">
        <v>25</v>
      </c>
      <c r="B173" s="16">
        <v>12.5</v>
      </c>
      <c r="C173" s="16">
        <v>3</v>
      </c>
      <c r="D173" s="16">
        <v>20</v>
      </c>
      <c r="E173" s="16">
        <v>0</v>
      </c>
      <c r="F173" s="16">
        <v>1</v>
      </c>
    </row>
    <row r="174" spans="1:6" x14ac:dyDescent="0.2">
      <c r="A174" s="16">
        <v>26.08</v>
      </c>
      <c r="B174" s="16">
        <v>8.6649999999999991</v>
      </c>
      <c r="C174" s="16">
        <v>1.415</v>
      </c>
      <c r="D174" s="16">
        <v>160</v>
      </c>
      <c r="E174" s="16">
        <v>150</v>
      </c>
      <c r="F174" s="16">
        <v>1</v>
      </c>
    </row>
    <row r="175" spans="1:6" x14ac:dyDescent="0.2">
      <c r="A175" s="16">
        <v>18.420000000000002</v>
      </c>
      <c r="B175" s="16">
        <v>9.25</v>
      </c>
      <c r="C175" s="16">
        <v>1.21</v>
      </c>
      <c r="D175" s="16">
        <v>60</v>
      </c>
      <c r="E175" s="16">
        <v>540</v>
      </c>
      <c r="F175" s="16">
        <v>1</v>
      </c>
    </row>
    <row r="176" spans="1:6" x14ac:dyDescent="0.2">
      <c r="A176" s="16">
        <v>20.170000000000002</v>
      </c>
      <c r="B176" s="16">
        <v>8.17</v>
      </c>
      <c r="C176" s="16">
        <v>1.96</v>
      </c>
      <c r="D176" s="16">
        <v>60</v>
      </c>
      <c r="E176" s="16">
        <v>158</v>
      </c>
      <c r="F176" s="16">
        <v>1</v>
      </c>
    </row>
    <row r="177" spans="1:6" x14ac:dyDescent="0.2">
      <c r="A177" s="16">
        <v>47.67</v>
      </c>
      <c r="B177" s="16">
        <v>0.28999999999999998</v>
      </c>
      <c r="C177" s="16">
        <v>15</v>
      </c>
      <c r="D177" s="16">
        <v>0</v>
      </c>
      <c r="E177" s="16">
        <v>15000</v>
      </c>
      <c r="F177" s="16">
        <v>1</v>
      </c>
    </row>
    <row r="178" spans="1:6" x14ac:dyDescent="0.2">
      <c r="A178" s="16">
        <v>21.25</v>
      </c>
      <c r="B178" s="16">
        <v>2.335</v>
      </c>
      <c r="C178" s="16">
        <v>0.5</v>
      </c>
      <c r="D178" s="16">
        <v>80</v>
      </c>
      <c r="E178" s="16">
        <v>0</v>
      </c>
      <c r="F178" s="16">
        <v>1</v>
      </c>
    </row>
    <row r="179" spans="1:6" x14ac:dyDescent="0.2">
      <c r="A179" s="16">
        <v>20.67</v>
      </c>
      <c r="B179" s="16">
        <v>3</v>
      </c>
      <c r="C179" s="16">
        <v>0.16500000000000001</v>
      </c>
      <c r="D179" s="16">
        <v>100</v>
      </c>
      <c r="E179" s="16">
        <v>6</v>
      </c>
      <c r="F179" s="16">
        <v>1</v>
      </c>
    </row>
    <row r="180" spans="1:6" x14ac:dyDescent="0.2">
      <c r="A180" s="16">
        <v>57.08</v>
      </c>
      <c r="B180" s="16">
        <v>19.5</v>
      </c>
      <c r="C180" s="16">
        <v>5.5</v>
      </c>
      <c r="D180" s="16">
        <v>0</v>
      </c>
      <c r="E180" s="16">
        <v>3000</v>
      </c>
      <c r="F180" s="16">
        <v>1</v>
      </c>
    </row>
    <row r="181" spans="1:6" x14ac:dyDescent="0.2">
      <c r="A181" s="16">
        <v>22.42</v>
      </c>
      <c r="B181" s="16">
        <v>5.665</v>
      </c>
      <c r="C181" s="16">
        <v>2.585</v>
      </c>
      <c r="D181" s="16">
        <v>129</v>
      </c>
      <c r="E181" s="16">
        <v>3257</v>
      </c>
      <c r="F181" s="16">
        <v>1</v>
      </c>
    </row>
    <row r="182" spans="1:6" x14ac:dyDescent="0.2">
      <c r="A182" s="16">
        <v>48.75</v>
      </c>
      <c r="B182" s="16">
        <v>8.5</v>
      </c>
      <c r="C182" s="16">
        <v>12.5</v>
      </c>
      <c r="D182" s="16">
        <v>181</v>
      </c>
      <c r="E182" s="16">
        <v>1655</v>
      </c>
      <c r="F182" s="16">
        <v>1</v>
      </c>
    </row>
    <row r="183" spans="1:6" x14ac:dyDescent="0.2">
      <c r="A183" s="16">
        <v>40</v>
      </c>
      <c r="B183" s="16">
        <v>6.5</v>
      </c>
      <c r="C183" s="16">
        <v>3.5</v>
      </c>
      <c r="D183" s="16">
        <v>0</v>
      </c>
      <c r="E183" s="16">
        <v>500</v>
      </c>
      <c r="F183" s="16">
        <v>1</v>
      </c>
    </row>
    <row r="184" spans="1:6" x14ac:dyDescent="0.2">
      <c r="A184" s="16">
        <v>40.58</v>
      </c>
      <c r="B184" s="16">
        <v>5</v>
      </c>
      <c r="C184" s="16">
        <v>5</v>
      </c>
      <c r="D184" s="16">
        <v>0</v>
      </c>
      <c r="E184" s="16">
        <v>3065</v>
      </c>
      <c r="F184" s="16">
        <v>1</v>
      </c>
    </row>
    <row r="185" spans="1:6" x14ac:dyDescent="0.2">
      <c r="A185" s="16">
        <v>28.67</v>
      </c>
      <c r="B185" s="16">
        <v>1.04</v>
      </c>
      <c r="C185" s="16">
        <v>2.5</v>
      </c>
      <c r="D185" s="16">
        <v>300</v>
      </c>
      <c r="E185" s="16">
        <v>1430</v>
      </c>
      <c r="F185" s="16">
        <v>1</v>
      </c>
    </row>
    <row r="186" spans="1:6" x14ac:dyDescent="0.2">
      <c r="A186" s="16">
        <v>33.08</v>
      </c>
      <c r="B186" s="16">
        <v>4.625</v>
      </c>
      <c r="C186" s="16">
        <v>1.625</v>
      </c>
      <c r="D186" s="16">
        <v>0</v>
      </c>
      <c r="E186" s="16">
        <v>0</v>
      </c>
      <c r="F186" s="16">
        <v>1</v>
      </c>
    </row>
    <row r="187" spans="1:6" x14ac:dyDescent="0.2">
      <c r="A187" s="16">
        <v>21.33</v>
      </c>
      <c r="B187" s="16">
        <v>10.5</v>
      </c>
      <c r="C187" s="16">
        <v>3</v>
      </c>
      <c r="D187" s="16">
        <v>0</v>
      </c>
      <c r="E187" s="16">
        <v>0</v>
      </c>
      <c r="F187" s="16">
        <v>1</v>
      </c>
    </row>
    <row r="188" spans="1:6" x14ac:dyDescent="0.2">
      <c r="A188" s="16">
        <v>42</v>
      </c>
      <c r="B188" s="16">
        <v>0.20499999999999999</v>
      </c>
      <c r="C188" s="16">
        <v>5.125</v>
      </c>
      <c r="D188" s="16">
        <v>400</v>
      </c>
      <c r="E188" s="16">
        <v>0</v>
      </c>
      <c r="F188" s="16">
        <v>1</v>
      </c>
    </row>
    <row r="189" spans="1:6" x14ac:dyDescent="0.2">
      <c r="A189" s="16">
        <v>41.75</v>
      </c>
      <c r="B189" s="16">
        <v>0.96</v>
      </c>
      <c r="C189" s="16">
        <v>2.5</v>
      </c>
      <c r="D189" s="16">
        <v>510</v>
      </c>
      <c r="E189" s="16">
        <v>600</v>
      </c>
      <c r="F189" s="16">
        <v>1</v>
      </c>
    </row>
    <row r="190" spans="1:6" x14ac:dyDescent="0.2">
      <c r="A190" s="16">
        <v>22.67</v>
      </c>
      <c r="B190" s="16">
        <v>1.585</v>
      </c>
      <c r="C190" s="16">
        <v>3.085</v>
      </c>
      <c r="D190" s="16">
        <v>80</v>
      </c>
      <c r="E190" s="16">
        <v>0</v>
      </c>
      <c r="F190" s="16">
        <v>1</v>
      </c>
    </row>
    <row r="191" spans="1:6" x14ac:dyDescent="0.2">
      <c r="A191" s="16">
        <v>34.5</v>
      </c>
      <c r="B191" s="16">
        <v>4.04</v>
      </c>
      <c r="C191" s="16">
        <v>8.5</v>
      </c>
      <c r="D191" s="16">
        <v>195</v>
      </c>
      <c r="E191" s="16">
        <v>0</v>
      </c>
      <c r="F191" s="16">
        <v>1</v>
      </c>
    </row>
    <row r="192" spans="1:6" x14ac:dyDescent="0.2">
      <c r="A192" s="16">
        <v>28.25</v>
      </c>
      <c r="B192" s="16">
        <v>5.04</v>
      </c>
      <c r="C192" s="16">
        <v>1.5</v>
      </c>
      <c r="D192" s="16">
        <v>144</v>
      </c>
      <c r="E192" s="16">
        <v>7</v>
      </c>
      <c r="F192" s="16">
        <v>1</v>
      </c>
    </row>
    <row r="193" spans="1:6" x14ac:dyDescent="0.2">
      <c r="A193" s="16">
        <v>33.17</v>
      </c>
      <c r="B193" s="16">
        <v>3.165</v>
      </c>
      <c r="C193" s="16">
        <v>3.165</v>
      </c>
      <c r="D193" s="16">
        <v>380</v>
      </c>
      <c r="E193" s="16">
        <v>0</v>
      </c>
      <c r="F193" s="16">
        <v>1</v>
      </c>
    </row>
    <row r="194" spans="1:6" x14ac:dyDescent="0.2">
      <c r="A194" s="16">
        <v>48.17</v>
      </c>
      <c r="B194" s="16">
        <v>7.625</v>
      </c>
      <c r="C194" s="16">
        <v>15.5</v>
      </c>
      <c r="D194" s="16">
        <v>0</v>
      </c>
      <c r="E194" s="16">
        <v>790</v>
      </c>
      <c r="F194" s="16">
        <v>1</v>
      </c>
    </row>
    <row r="195" spans="1:6" x14ac:dyDescent="0.2">
      <c r="A195" s="16">
        <v>27.58</v>
      </c>
      <c r="B195" s="16">
        <v>2.04</v>
      </c>
      <c r="C195" s="16">
        <v>2</v>
      </c>
      <c r="D195" s="16">
        <v>370</v>
      </c>
      <c r="E195" s="16">
        <v>560</v>
      </c>
      <c r="F195" s="16">
        <v>1</v>
      </c>
    </row>
    <row r="196" spans="1:6" x14ac:dyDescent="0.2">
      <c r="A196" s="16">
        <v>22.58</v>
      </c>
      <c r="B196" s="16">
        <v>10.039999999999999</v>
      </c>
      <c r="C196" s="16">
        <v>0.04</v>
      </c>
      <c r="D196" s="16">
        <v>60</v>
      </c>
      <c r="E196" s="16">
        <v>396</v>
      </c>
      <c r="F196" s="16">
        <v>1</v>
      </c>
    </row>
    <row r="197" spans="1:6" x14ac:dyDescent="0.2">
      <c r="A197" s="16">
        <v>24.08</v>
      </c>
      <c r="B197" s="16">
        <v>0.5</v>
      </c>
      <c r="C197" s="16">
        <v>1.25</v>
      </c>
      <c r="D197" s="16">
        <v>0</v>
      </c>
      <c r="E197" s="16">
        <v>678</v>
      </c>
      <c r="F197" s="16">
        <v>1</v>
      </c>
    </row>
    <row r="198" spans="1:6" x14ac:dyDescent="0.2">
      <c r="A198" s="16">
        <v>41.33</v>
      </c>
      <c r="B198" s="16">
        <v>1</v>
      </c>
      <c r="C198" s="16">
        <v>2.25</v>
      </c>
      <c r="D198" s="16">
        <v>0</v>
      </c>
      <c r="E198" s="16">
        <v>300</v>
      </c>
      <c r="F198" s="16">
        <v>1</v>
      </c>
    </row>
    <row r="199" spans="1:6" x14ac:dyDescent="0.2">
      <c r="A199" s="16">
        <v>20.75</v>
      </c>
      <c r="B199" s="16">
        <v>10.25</v>
      </c>
      <c r="C199" s="16">
        <v>0.71</v>
      </c>
      <c r="D199" s="16">
        <v>49</v>
      </c>
      <c r="E199" s="16">
        <v>0</v>
      </c>
      <c r="F199" s="16">
        <v>1</v>
      </c>
    </row>
    <row r="200" spans="1:6" x14ac:dyDescent="0.2">
      <c r="A200" s="16">
        <v>36.33</v>
      </c>
      <c r="B200" s="16">
        <v>2.125</v>
      </c>
      <c r="C200" s="16">
        <v>8.5000000000000006E-2</v>
      </c>
      <c r="D200" s="16">
        <v>50</v>
      </c>
      <c r="E200" s="16">
        <v>1187</v>
      </c>
      <c r="F200" s="16">
        <v>1</v>
      </c>
    </row>
    <row r="201" spans="1:6" x14ac:dyDescent="0.2">
      <c r="A201" s="16">
        <v>35.42</v>
      </c>
      <c r="B201" s="16">
        <v>12</v>
      </c>
      <c r="C201" s="16">
        <v>14</v>
      </c>
      <c r="D201" s="16">
        <v>0</v>
      </c>
      <c r="E201" s="16">
        <v>6590</v>
      </c>
      <c r="F201" s="16">
        <v>1</v>
      </c>
    </row>
    <row r="202" spans="1:6" x14ac:dyDescent="0.2">
      <c r="A202" s="16">
        <v>28.67</v>
      </c>
      <c r="B202" s="16">
        <v>9.3350000000000009</v>
      </c>
      <c r="C202" s="16">
        <v>5.665</v>
      </c>
      <c r="D202" s="16">
        <v>381</v>
      </c>
      <c r="E202" s="16">
        <v>168</v>
      </c>
      <c r="F202" s="16">
        <v>1</v>
      </c>
    </row>
    <row r="203" spans="1:6" x14ac:dyDescent="0.2">
      <c r="A203" s="16">
        <v>35.17</v>
      </c>
      <c r="B203" s="16">
        <v>2.5</v>
      </c>
      <c r="C203" s="16">
        <v>4.5</v>
      </c>
      <c r="D203" s="16">
        <v>150</v>
      </c>
      <c r="E203" s="16">
        <v>1270</v>
      </c>
      <c r="F203" s="16">
        <v>1</v>
      </c>
    </row>
    <row r="204" spans="1:6" x14ac:dyDescent="0.2">
      <c r="A204" s="16">
        <v>39.5</v>
      </c>
      <c r="B204" s="16">
        <v>4.25</v>
      </c>
      <c r="C204" s="16">
        <v>6.5</v>
      </c>
      <c r="D204" s="16">
        <v>117</v>
      </c>
      <c r="E204" s="16">
        <v>1210</v>
      </c>
      <c r="F204" s="16">
        <v>1</v>
      </c>
    </row>
    <row r="205" spans="1:6" x14ac:dyDescent="0.2">
      <c r="A205" s="16">
        <v>39.33</v>
      </c>
      <c r="B205" s="16">
        <v>5.875</v>
      </c>
      <c r="C205" s="16">
        <v>10</v>
      </c>
      <c r="D205" s="16">
        <v>399</v>
      </c>
      <c r="E205" s="16">
        <v>0</v>
      </c>
      <c r="F205" s="16">
        <v>1</v>
      </c>
    </row>
    <row r="206" spans="1:6" x14ac:dyDescent="0.2">
      <c r="A206" s="16">
        <v>24.33</v>
      </c>
      <c r="B206" s="16">
        <v>6.625</v>
      </c>
      <c r="C206" s="16">
        <v>5.5</v>
      </c>
      <c r="D206" s="16">
        <v>100</v>
      </c>
      <c r="E206" s="16">
        <v>0</v>
      </c>
      <c r="F206" s="16">
        <v>1</v>
      </c>
    </row>
    <row r="207" spans="1:6" x14ac:dyDescent="0.2">
      <c r="A207" s="16">
        <v>60.08</v>
      </c>
      <c r="B207" s="16">
        <v>14.5</v>
      </c>
      <c r="C207" s="16">
        <v>18</v>
      </c>
      <c r="D207" s="16">
        <v>0</v>
      </c>
      <c r="E207" s="16">
        <v>1000</v>
      </c>
      <c r="F207" s="16">
        <v>1</v>
      </c>
    </row>
    <row r="208" spans="1:6" x14ac:dyDescent="0.2">
      <c r="A208" s="16">
        <v>23.08</v>
      </c>
      <c r="B208" s="16">
        <v>11.5</v>
      </c>
      <c r="C208" s="16">
        <v>3.5</v>
      </c>
      <c r="D208" s="16">
        <v>56</v>
      </c>
      <c r="E208" s="16">
        <v>742</v>
      </c>
      <c r="F208" s="16">
        <v>1</v>
      </c>
    </row>
    <row r="209" spans="1:6" x14ac:dyDescent="0.2">
      <c r="A209" s="16">
        <v>26.67</v>
      </c>
      <c r="B209" s="16">
        <v>2.71</v>
      </c>
      <c r="C209" s="16">
        <v>5.25</v>
      </c>
      <c r="D209" s="16">
        <v>211</v>
      </c>
      <c r="E209" s="16">
        <v>0</v>
      </c>
      <c r="F209" s="16">
        <v>1</v>
      </c>
    </row>
    <row r="210" spans="1:6" x14ac:dyDescent="0.2">
      <c r="A210" s="16">
        <v>48.17</v>
      </c>
      <c r="B210" s="16">
        <v>3.5</v>
      </c>
      <c r="C210" s="16">
        <v>3.5</v>
      </c>
      <c r="D210" s="16">
        <v>230</v>
      </c>
      <c r="E210" s="16">
        <v>0</v>
      </c>
      <c r="F210" s="16">
        <v>1</v>
      </c>
    </row>
    <row r="211" spans="1:6" x14ac:dyDescent="0.2">
      <c r="A211" s="16">
        <v>41.17</v>
      </c>
      <c r="B211" s="16">
        <v>4.04</v>
      </c>
      <c r="C211" s="16">
        <v>7</v>
      </c>
      <c r="D211" s="16">
        <v>320</v>
      </c>
      <c r="E211" s="16">
        <v>0</v>
      </c>
      <c r="F211" s="16">
        <v>1</v>
      </c>
    </row>
    <row r="212" spans="1:6" x14ac:dyDescent="0.2">
      <c r="A212" s="16">
        <v>55.92</v>
      </c>
      <c r="B212" s="16">
        <v>11.5</v>
      </c>
      <c r="C212" s="16">
        <v>5</v>
      </c>
      <c r="D212" s="16">
        <v>0</v>
      </c>
      <c r="E212" s="16">
        <v>8851</v>
      </c>
      <c r="F212" s="16">
        <v>1</v>
      </c>
    </row>
    <row r="213" spans="1:6" x14ac:dyDescent="0.2">
      <c r="A213" s="16">
        <v>53.92</v>
      </c>
      <c r="B213" s="16">
        <v>9.625</v>
      </c>
      <c r="C213" s="16">
        <v>8.6649999999999991</v>
      </c>
      <c r="D213" s="16">
        <v>0</v>
      </c>
      <c r="E213" s="16">
        <v>0</v>
      </c>
      <c r="F213" s="16">
        <v>1</v>
      </c>
    </row>
    <row r="214" spans="1:6" x14ac:dyDescent="0.2">
      <c r="A214" s="16">
        <v>18.920000000000002</v>
      </c>
      <c r="B214" s="16">
        <v>9.25</v>
      </c>
      <c r="C214" s="16">
        <v>1</v>
      </c>
      <c r="D214" s="16">
        <v>80</v>
      </c>
      <c r="E214" s="16">
        <v>500</v>
      </c>
      <c r="F214" s="16">
        <v>1</v>
      </c>
    </row>
    <row r="215" spans="1:6" x14ac:dyDescent="0.2">
      <c r="A215" s="16">
        <v>50.08</v>
      </c>
      <c r="B215" s="16">
        <v>12.54</v>
      </c>
      <c r="C215" s="16">
        <v>2.29</v>
      </c>
      <c r="D215" s="16">
        <v>156</v>
      </c>
      <c r="E215" s="16">
        <v>0</v>
      </c>
      <c r="F215" s="16">
        <v>1</v>
      </c>
    </row>
    <row r="216" spans="1:6" x14ac:dyDescent="0.2">
      <c r="A216" s="16">
        <v>65.42</v>
      </c>
      <c r="B216" s="16">
        <v>11</v>
      </c>
      <c r="C216" s="16">
        <v>20</v>
      </c>
      <c r="D216" s="16">
        <v>22</v>
      </c>
      <c r="E216" s="16">
        <v>0</v>
      </c>
      <c r="F216" s="16">
        <v>1</v>
      </c>
    </row>
    <row r="217" spans="1:6" x14ac:dyDescent="0.2">
      <c r="A217" s="16">
        <v>17.579999999999998</v>
      </c>
      <c r="B217" s="16">
        <v>9</v>
      </c>
      <c r="C217" s="16">
        <v>1.375</v>
      </c>
      <c r="D217" s="16">
        <v>0</v>
      </c>
      <c r="E217" s="16">
        <v>0</v>
      </c>
      <c r="F217" s="16">
        <v>1</v>
      </c>
    </row>
    <row r="218" spans="1:6" x14ac:dyDescent="0.2">
      <c r="A218" s="16">
        <v>18.829999999999998</v>
      </c>
      <c r="B218" s="16">
        <v>9.5399999999999991</v>
      </c>
      <c r="C218" s="16">
        <v>8.5000000000000006E-2</v>
      </c>
      <c r="D218" s="16">
        <v>100</v>
      </c>
      <c r="E218" s="16">
        <v>0</v>
      </c>
      <c r="F218" s="16">
        <v>1</v>
      </c>
    </row>
    <row r="219" spans="1:6" x14ac:dyDescent="0.2">
      <c r="A219" s="16">
        <v>37.75</v>
      </c>
      <c r="B219" s="16">
        <v>5.5</v>
      </c>
      <c r="C219" s="16">
        <v>0.125</v>
      </c>
      <c r="D219" s="16">
        <v>228</v>
      </c>
      <c r="E219" s="16">
        <v>0</v>
      </c>
      <c r="F219" s="16">
        <v>1</v>
      </c>
    </row>
    <row r="220" spans="1:6" x14ac:dyDescent="0.2">
      <c r="A220" s="16">
        <v>23.25</v>
      </c>
      <c r="B220" s="16">
        <v>4</v>
      </c>
      <c r="C220" s="16">
        <v>0.25</v>
      </c>
      <c r="D220" s="16">
        <v>160</v>
      </c>
      <c r="E220" s="16">
        <v>0</v>
      </c>
      <c r="F220" s="16">
        <v>1</v>
      </c>
    </row>
    <row r="221" spans="1:6" x14ac:dyDescent="0.2">
      <c r="A221" s="16">
        <v>18.079999999999998</v>
      </c>
      <c r="B221" s="16">
        <v>5.5</v>
      </c>
      <c r="C221" s="16">
        <v>0.5</v>
      </c>
      <c r="D221" s="16">
        <v>80</v>
      </c>
      <c r="E221" s="16">
        <v>0</v>
      </c>
      <c r="F221" s="16">
        <v>1</v>
      </c>
    </row>
    <row r="222" spans="1:6" x14ac:dyDescent="0.2">
      <c r="A222" s="16">
        <v>22.5</v>
      </c>
      <c r="B222" s="16">
        <v>8.4600000000000009</v>
      </c>
      <c r="C222" s="16">
        <v>2.46</v>
      </c>
      <c r="D222" s="16">
        <v>164</v>
      </c>
      <c r="E222" s="16">
        <v>0</v>
      </c>
      <c r="F222" s="16">
        <v>1</v>
      </c>
    </row>
    <row r="223" spans="1:6" x14ac:dyDescent="0.2">
      <c r="A223" s="16">
        <v>19.670000000000002</v>
      </c>
      <c r="B223" s="16">
        <v>0.375</v>
      </c>
      <c r="C223" s="16">
        <v>2</v>
      </c>
      <c r="D223" s="16">
        <v>80</v>
      </c>
      <c r="E223" s="16">
        <v>0</v>
      </c>
      <c r="F223" s="16">
        <v>1</v>
      </c>
    </row>
    <row r="224" spans="1:6" x14ac:dyDescent="0.2">
      <c r="A224" s="16">
        <v>22.08</v>
      </c>
      <c r="B224" s="16">
        <v>11</v>
      </c>
      <c r="C224" s="16">
        <v>0.66500000000000004</v>
      </c>
      <c r="D224" s="16">
        <v>100</v>
      </c>
      <c r="E224" s="16">
        <v>0</v>
      </c>
      <c r="F224" s="16">
        <v>1</v>
      </c>
    </row>
    <row r="225" spans="1:6" x14ac:dyDescent="0.2">
      <c r="A225" s="16">
        <v>25.17</v>
      </c>
      <c r="B225" s="16">
        <v>3.5</v>
      </c>
      <c r="C225" s="16">
        <v>0.625</v>
      </c>
      <c r="D225" s="16">
        <v>0</v>
      </c>
      <c r="E225" s="16">
        <v>7059</v>
      </c>
      <c r="F225" s="16">
        <v>1</v>
      </c>
    </row>
    <row r="226" spans="1:6" x14ac:dyDescent="0.2">
      <c r="A226" s="16">
        <v>47.42</v>
      </c>
      <c r="B226" s="16">
        <v>3</v>
      </c>
      <c r="C226" s="16">
        <v>13.875</v>
      </c>
      <c r="D226" s="16">
        <v>519</v>
      </c>
      <c r="E226" s="16">
        <v>1704</v>
      </c>
      <c r="F226" s="16">
        <v>1</v>
      </c>
    </row>
    <row r="227" spans="1:6" x14ac:dyDescent="0.2">
      <c r="A227" s="16">
        <v>33.5</v>
      </c>
      <c r="B227" s="16">
        <v>1.75</v>
      </c>
      <c r="C227" s="16">
        <v>4.5</v>
      </c>
      <c r="D227" s="16">
        <v>253</v>
      </c>
      <c r="E227" s="16">
        <v>857</v>
      </c>
      <c r="F227" s="16">
        <v>1</v>
      </c>
    </row>
    <row r="228" spans="1:6" x14ac:dyDescent="0.2">
      <c r="A228" s="16">
        <v>27.67</v>
      </c>
      <c r="B228" s="16">
        <v>13.75</v>
      </c>
      <c r="C228" s="16">
        <v>5.75</v>
      </c>
      <c r="D228" s="16">
        <v>487</v>
      </c>
      <c r="E228" s="16">
        <v>500</v>
      </c>
      <c r="F228" s="16">
        <v>1</v>
      </c>
    </row>
    <row r="229" spans="1:6" x14ac:dyDescent="0.2">
      <c r="A229" s="16">
        <v>58.42</v>
      </c>
      <c r="B229" s="16">
        <v>21</v>
      </c>
      <c r="C229" s="16">
        <v>10</v>
      </c>
      <c r="D229" s="16">
        <v>0</v>
      </c>
      <c r="E229" s="16">
        <v>6700</v>
      </c>
      <c r="F229" s="16">
        <v>1</v>
      </c>
    </row>
    <row r="230" spans="1:6" x14ac:dyDescent="0.2">
      <c r="A230" s="16">
        <v>20.67</v>
      </c>
      <c r="B230" s="16">
        <v>1.835</v>
      </c>
      <c r="C230" s="16">
        <v>2.085</v>
      </c>
      <c r="D230" s="16">
        <v>220</v>
      </c>
      <c r="E230" s="16">
        <v>2503</v>
      </c>
      <c r="F230" s="16">
        <v>1</v>
      </c>
    </row>
    <row r="231" spans="1:6" x14ac:dyDescent="0.2">
      <c r="A231" s="16">
        <v>26.17</v>
      </c>
      <c r="B231" s="16">
        <v>0.25</v>
      </c>
      <c r="C231" s="16">
        <v>0</v>
      </c>
      <c r="D231" s="16">
        <v>0</v>
      </c>
      <c r="E231" s="16">
        <v>0</v>
      </c>
      <c r="F231" s="16">
        <v>1</v>
      </c>
    </row>
    <row r="232" spans="1:6" x14ac:dyDescent="0.2">
      <c r="A232" s="16">
        <v>21.33</v>
      </c>
      <c r="B232" s="16">
        <v>7.5</v>
      </c>
      <c r="C232" s="16">
        <v>1.415</v>
      </c>
      <c r="D232" s="16">
        <v>80</v>
      </c>
      <c r="E232" s="16">
        <v>9800</v>
      </c>
      <c r="F232" s="16">
        <v>1</v>
      </c>
    </row>
    <row r="233" spans="1:6" x14ac:dyDescent="0.2">
      <c r="A233" s="16">
        <v>42.83</v>
      </c>
      <c r="B233" s="16">
        <v>4.625</v>
      </c>
      <c r="C233" s="16">
        <v>4.58</v>
      </c>
      <c r="D233" s="16">
        <v>0</v>
      </c>
      <c r="E233" s="16">
        <v>0</v>
      </c>
      <c r="F233" s="16">
        <v>1</v>
      </c>
    </row>
    <row r="234" spans="1:6" x14ac:dyDescent="0.2">
      <c r="A234" s="16">
        <v>38.17</v>
      </c>
      <c r="B234" s="16">
        <v>10.125</v>
      </c>
      <c r="C234" s="16">
        <v>2.5</v>
      </c>
      <c r="D234" s="16">
        <v>520</v>
      </c>
      <c r="E234" s="16">
        <v>196</v>
      </c>
      <c r="F234" s="16">
        <v>1</v>
      </c>
    </row>
    <row r="235" spans="1:6" x14ac:dyDescent="0.2">
      <c r="A235" s="16">
        <v>20.5</v>
      </c>
      <c r="B235" s="16">
        <v>10</v>
      </c>
      <c r="C235" s="16">
        <v>2.5</v>
      </c>
      <c r="D235" s="16">
        <v>40</v>
      </c>
      <c r="E235" s="16">
        <v>0</v>
      </c>
      <c r="F235" s="16">
        <v>1</v>
      </c>
    </row>
    <row r="236" spans="1:6" x14ac:dyDescent="0.2">
      <c r="A236" s="16">
        <v>48.25</v>
      </c>
      <c r="B236" s="16">
        <v>25.085000000000001</v>
      </c>
      <c r="C236" s="16">
        <v>1.75</v>
      </c>
      <c r="D236" s="16">
        <v>120</v>
      </c>
      <c r="E236" s="16">
        <v>14</v>
      </c>
      <c r="F236" s="16">
        <v>1</v>
      </c>
    </row>
    <row r="237" spans="1:6" x14ac:dyDescent="0.2">
      <c r="A237" s="16">
        <v>28.33</v>
      </c>
      <c r="B237" s="16">
        <v>5</v>
      </c>
      <c r="C237" s="16">
        <v>11</v>
      </c>
      <c r="D237" s="16">
        <v>70</v>
      </c>
      <c r="E237" s="16">
        <v>0</v>
      </c>
      <c r="F237" s="16">
        <v>1</v>
      </c>
    </row>
    <row r="238" spans="1:6" x14ac:dyDescent="0.2">
      <c r="A238" s="16">
        <v>18.5</v>
      </c>
      <c r="B238" s="16">
        <v>2</v>
      </c>
      <c r="C238" s="16">
        <v>1.5</v>
      </c>
      <c r="D238" s="16">
        <v>120</v>
      </c>
      <c r="E238" s="16">
        <v>300</v>
      </c>
      <c r="F238" s="16">
        <v>1</v>
      </c>
    </row>
    <row r="239" spans="1:6" x14ac:dyDescent="0.2">
      <c r="A239" s="16">
        <v>33.17</v>
      </c>
      <c r="B239" s="16">
        <v>3.04</v>
      </c>
      <c r="C239" s="16">
        <v>2.04</v>
      </c>
      <c r="D239" s="16">
        <v>180</v>
      </c>
      <c r="E239" s="16">
        <v>18027</v>
      </c>
      <c r="F239" s="16">
        <v>1</v>
      </c>
    </row>
    <row r="240" spans="1:6" x14ac:dyDescent="0.2">
      <c r="A240" s="16">
        <v>45</v>
      </c>
      <c r="B240" s="16">
        <v>8.5</v>
      </c>
      <c r="C240" s="16">
        <v>14</v>
      </c>
      <c r="D240" s="16">
        <v>88</v>
      </c>
      <c r="E240" s="16">
        <v>2000</v>
      </c>
      <c r="F240" s="16">
        <v>1</v>
      </c>
    </row>
    <row r="241" spans="1:6" x14ac:dyDescent="0.2">
      <c r="A241" s="16">
        <v>19.670000000000002</v>
      </c>
      <c r="B241" s="16">
        <v>0.21</v>
      </c>
      <c r="C241" s="16">
        <v>0.28999999999999998</v>
      </c>
      <c r="D241" s="16">
        <v>80</v>
      </c>
      <c r="E241" s="16">
        <v>99</v>
      </c>
      <c r="F241" s="16">
        <v>1</v>
      </c>
    </row>
    <row r="242" spans="1:6" x14ac:dyDescent="0.2">
      <c r="A242" s="16">
        <v>24.5</v>
      </c>
      <c r="B242" s="16">
        <v>12.75</v>
      </c>
      <c r="C242" s="16">
        <v>4.75</v>
      </c>
      <c r="D242" s="16">
        <v>73</v>
      </c>
      <c r="E242" s="16">
        <v>444</v>
      </c>
      <c r="F242" s="16">
        <v>1</v>
      </c>
    </row>
    <row r="243" spans="1:6" x14ac:dyDescent="0.2">
      <c r="A243" s="16">
        <v>21.83</v>
      </c>
      <c r="B243" s="16">
        <v>11</v>
      </c>
      <c r="C243" s="16">
        <v>0.28999999999999998</v>
      </c>
      <c r="D243" s="16">
        <v>121</v>
      </c>
      <c r="E243" s="16">
        <v>0</v>
      </c>
      <c r="F243" s="16">
        <v>1</v>
      </c>
    </row>
    <row r="244" spans="1:6" x14ac:dyDescent="0.2">
      <c r="A244" s="16">
        <v>40.25</v>
      </c>
      <c r="B244" s="16">
        <v>21.5</v>
      </c>
      <c r="C244" s="16">
        <v>20</v>
      </c>
      <c r="D244" s="16">
        <v>0</v>
      </c>
      <c r="E244" s="16">
        <v>1200</v>
      </c>
      <c r="F244" s="16">
        <v>1</v>
      </c>
    </row>
    <row r="245" spans="1:6" x14ac:dyDescent="0.2">
      <c r="A245" s="16">
        <v>41.42</v>
      </c>
      <c r="B245" s="16">
        <v>5</v>
      </c>
      <c r="C245" s="16">
        <v>5</v>
      </c>
      <c r="D245" s="16">
        <v>470</v>
      </c>
      <c r="E245" s="16">
        <v>0</v>
      </c>
      <c r="F245" s="16">
        <v>1</v>
      </c>
    </row>
    <row r="246" spans="1:6" x14ac:dyDescent="0.2">
      <c r="A246" s="16">
        <v>17.829999999999998</v>
      </c>
      <c r="B246" s="16">
        <v>11</v>
      </c>
      <c r="C246" s="16">
        <v>1</v>
      </c>
      <c r="D246" s="16">
        <v>0</v>
      </c>
      <c r="E246" s="16">
        <v>3000</v>
      </c>
      <c r="F246" s="16">
        <v>1</v>
      </c>
    </row>
    <row r="247" spans="1:6" x14ac:dyDescent="0.2">
      <c r="A247" s="16">
        <v>23.17</v>
      </c>
      <c r="B247" s="16">
        <v>11.125</v>
      </c>
      <c r="C247" s="16">
        <v>0.46</v>
      </c>
      <c r="D247" s="16">
        <v>100</v>
      </c>
      <c r="E247" s="16">
        <v>0</v>
      </c>
      <c r="F247" s="16">
        <v>1</v>
      </c>
    </row>
    <row r="248" spans="1:6" x14ac:dyDescent="0.2">
      <c r="A248" s="16">
        <v>18.170000000000002</v>
      </c>
      <c r="B248" s="16">
        <v>10.25</v>
      </c>
      <c r="C248" s="16">
        <v>1.085</v>
      </c>
      <c r="D248" s="16">
        <v>320</v>
      </c>
      <c r="E248" s="16">
        <v>13</v>
      </c>
      <c r="F248" s="16">
        <v>0</v>
      </c>
    </row>
    <row r="249" spans="1:6" x14ac:dyDescent="0.2">
      <c r="A249" s="16">
        <v>20</v>
      </c>
      <c r="B249" s="16">
        <v>11.045</v>
      </c>
      <c r="C249" s="16">
        <v>2</v>
      </c>
      <c r="D249" s="16">
        <v>136</v>
      </c>
      <c r="E249" s="16">
        <v>0</v>
      </c>
      <c r="F249" s="16">
        <v>0</v>
      </c>
    </row>
    <row r="250" spans="1:6" x14ac:dyDescent="0.2">
      <c r="A250" s="16">
        <v>20</v>
      </c>
      <c r="B250" s="16">
        <v>0</v>
      </c>
      <c r="C250" s="16">
        <v>0.5</v>
      </c>
      <c r="D250" s="16">
        <v>144</v>
      </c>
      <c r="E250" s="16">
        <v>0</v>
      </c>
      <c r="F250" s="16">
        <v>0</v>
      </c>
    </row>
    <row r="251" spans="1:6" x14ac:dyDescent="0.2">
      <c r="A251" s="16">
        <v>20.75</v>
      </c>
      <c r="B251" s="16">
        <v>9.5399999999999991</v>
      </c>
      <c r="C251" s="16">
        <v>0.04</v>
      </c>
      <c r="D251" s="16">
        <v>200</v>
      </c>
      <c r="E251" s="16">
        <v>1000</v>
      </c>
      <c r="F251" s="16">
        <v>0</v>
      </c>
    </row>
    <row r="252" spans="1:6" x14ac:dyDescent="0.2">
      <c r="A252" s="16">
        <v>24.5</v>
      </c>
      <c r="B252" s="16">
        <v>1.75</v>
      </c>
      <c r="C252" s="16">
        <v>0.16500000000000001</v>
      </c>
      <c r="D252" s="16">
        <v>132</v>
      </c>
      <c r="E252" s="16">
        <v>0</v>
      </c>
      <c r="F252" s="16">
        <v>0</v>
      </c>
    </row>
    <row r="253" spans="1:6" x14ac:dyDescent="0.2">
      <c r="A253" s="16">
        <v>32.75</v>
      </c>
      <c r="B253" s="16">
        <v>2.335</v>
      </c>
      <c r="C253" s="16">
        <v>5.75</v>
      </c>
      <c r="D253" s="16">
        <v>292</v>
      </c>
      <c r="E253" s="16">
        <v>0</v>
      </c>
      <c r="F253" s="16">
        <v>0</v>
      </c>
    </row>
    <row r="254" spans="1:6" x14ac:dyDescent="0.2">
      <c r="A254" s="16">
        <v>52.17</v>
      </c>
      <c r="B254" s="16">
        <v>0</v>
      </c>
      <c r="C254" s="16">
        <v>0</v>
      </c>
      <c r="D254" s="16">
        <v>0</v>
      </c>
      <c r="E254" s="16">
        <v>0</v>
      </c>
      <c r="F254" s="16">
        <v>0</v>
      </c>
    </row>
    <row r="255" spans="1:6" x14ac:dyDescent="0.2">
      <c r="A255" s="16">
        <v>48.17</v>
      </c>
      <c r="B255" s="16">
        <v>1.335</v>
      </c>
      <c r="C255" s="16">
        <v>0.33500000000000002</v>
      </c>
      <c r="D255" s="16">
        <v>0</v>
      </c>
      <c r="E255" s="16">
        <v>120</v>
      </c>
      <c r="F255" s="16">
        <v>0</v>
      </c>
    </row>
    <row r="256" spans="1:6" x14ac:dyDescent="0.2">
      <c r="A256" s="16">
        <v>20.420000000000002</v>
      </c>
      <c r="B256" s="16">
        <v>10.5</v>
      </c>
      <c r="C256" s="16">
        <v>0</v>
      </c>
      <c r="D256" s="16">
        <v>154</v>
      </c>
      <c r="E256" s="16">
        <v>32</v>
      </c>
      <c r="F256" s="16">
        <v>0</v>
      </c>
    </row>
    <row r="257" spans="1:6" x14ac:dyDescent="0.2">
      <c r="A257" s="16">
        <v>50.75</v>
      </c>
      <c r="B257" s="16">
        <v>0.58499999999999996</v>
      </c>
      <c r="C257" s="16">
        <v>0</v>
      </c>
      <c r="D257" s="16">
        <v>145</v>
      </c>
      <c r="E257" s="16">
        <v>0</v>
      </c>
      <c r="F257" s="16">
        <v>0</v>
      </c>
    </row>
    <row r="258" spans="1:6" x14ac:dyDescent="0.2">
      <c r="A258" s="16">
        <v>17.079999999999998</v>
      </c>
      <c r="B258" s="16">
        <v>8.5000000000000006E-2</v>
      </c>
      <c r="C258" s="16">
        <v>0.04</v>
      </c>
      <c r="D258" s="16">
        <v>140</v>
      </c>
      <c r="E258" s="16">
        <v>722</v>
      </c>
      <c r="F258" s="16">
        <v>0</v>
      </c>
    </row>
    <row r="259" spans="1:6" x14ac:dyDescent="0.2">
      <c r="A259" s="16">
        <v>18.329999999999998</v>
      </c>
      <c r="B259" s="16">
        <v>1.21</v>
      </c>
      <c r="C259" s="16">
        <v>0</v>
      </c>
      <c r="D259" s="16">
        <v>100</v>
      </c>
      <c r="E259" s="16">
        <v>0</v>
      </c>
      <c r="F259" s="16">
        <v>0</v>
      </c>
    </row>
    <row r="260" spans="1:6" x14ac:dyDescent="0.2">
      <c r="A260" s="16">
        <v>32</v>
      </c>
      <c r="B260" s="16">
        <v>6</v>
      </c>
      <c r="C260" s="16">
        <v>1.25</v>
      </c>
      <c r="D260" s="16">
        <v>272</v>
      </c>
      <c r="E260" s="16">
        <v>0</v>
      </c>
      <c r="F260" s="16">
        <v>0</v>
      </c>
    </row>
    <row r="261" spans="1:6" x14ac:dyDescent="0.2">
      <c r="A261" s="16">
        <v>59.67</v>
      </c>
      <c r="B261" s="16">
        <v>1.54</v>
      </c>
      <c r="C261" s="16">
        <v>0.125</v>
      </c>
      <c r="D261" s="16">
        <v>260</v>
      </c>
      <c r="E261" s="16">
        <v>0</v>
      </c>
      <c r="F261" s="16">
        <v>1</v>
      </c>
    </row>
    <row r="262" spans="1:6" x14ac:dyDescent="0.2">
      <c r="A262" s="16">
        <v>18</v>
      </c>
      <c r="B262" s="16">
        <v>0.16500000000000001</v>
      </c>
      <c r="C262" s="16">
        <v>0.21</v>
      </c>
      <c r="D262" s="16">
        <v>200</v>
      </c>
      <c r="E262" s="16">
        <v>40</v>
      </c>
      <c r="F262" s="16">
        <v>1</v>
      </c>
    </row>
    <row r="263" spans="1:6" x14ac:dyDescent="0.2">
      <c r="A263" s="16">
        <v>32.33</v>
      </c>
      <c r="B263" s="16">
        <v>2.5</v>
      </c>
      <c r="C263" s="16">
        <v>1.25</v>
      </c>
      <c r="D263" s="16">
        <v>280</v>
      </c>
      <c r="E263" s="16">
        <v>0</v>
      </c>
      <c r="F263" s="16">
        <v>0</v>
      </c>
    </row>
    <row r="264" spans="1:6" x14ac:dyDescent="0.2">
      <c r="A264" s="16">
        <v>18.079999999999998</v>
      </c>
      <c r="B264" s="16">
        <v>6.75</v>
      </c>
      <c r="C264" s="16">
        <v>0.04</v>
      </c>
      <c r="D264" s="16">
        <v>140</v>
      </c>
      <c r="E264" s="16">
        <v>0</v>
      </c>
      <c r="F264" s="16">
        <v>0</v>
      </c>
    </row>
    <row r="265" spans="1:6" x14ac:dyDescent="0.2">
      <c r="A265" s="16">
        <v>38.25</v>
      </c>
      <c r="B265" s="16">
        <v>10.125</v>
      </c>
      <c r="C265" s="16">
        <v>0.125</v>
      </c>
      <c r="D265" s="16">
        <v>160</v>
      </c>
      <c r="E265" s="16">
        <v>0</v>
      </c>
      <c r="F265" s="16">
        <v>0</v>
      </c>
    </row>
    <row r="266" spans="1:6" x14ac:dyDescent="0.2">
      <c r="A266" s="16">
        <v>30.67</v>
      </c>
      <c r="B266" s="16">
        <v>2.5</v>
      </c>
      <c r="C266" s="16">
        <v>2.25</v>
      </c>
      <c r="D266" s="16">
        <v>340</v>
      </c>
      <c r="E266" s="16">
        <v>0</v>
      </c>
      <c r="F266" s="16">
        <v>0</v>
      </c>
    </row>
    <row r="267" spans="1:6" x14ac:dyDescent="0.2">
      <c r="A267" s="16">
        <v>18.579999999999998</v>
      </c>
      <c r="B267" s="16">
        <v>5.71</v>
      </c>
      <c r="C267" s="16">
        <v>0.54</v>
      </c>
      <c r="D267" s="16">
        <v>120</v>
      </c>
      <c r="E267" s="16">
        <v>0</v>
      </c>
      <c r="F267" s="16">
        <v>0</v>
      </c>
    </row>
    <row r="268" spans="1:6" x14ac:dyDescent="0.2">
      <c r="A268" s="16">
        <v>19.170000000000002</v>
      </c>
      <c r="B268" s="16">
        <v>5.415</v>
      </c>
      <c r="C268" s="16">
        <v>0.28999999999999998</v>
      </c>
      <c r="D268" s="16">
        <v>80</v>
      </c>
      <c r="E268" s="16">
        <v>484</v>
      </c>
      <c r="F268" s="16">
        <v>0</v>
      </c>
    </row>
    <row r="269" spans="1:6" x14ac:dyDescent="0.2">
      <c r="A269" s="16">
        <v>18.170000000000002</v>
      </c>
      <c r="B269" s="16">
        <v>10</v>
      </c>
      <c r="C269" s="16">
        <v>0.16500000000000001</v>
      </c>
      <c r="D269" s="16">
        <v>340</v>
      </c>
      <c r="E269" s="16">
        <v>0</v>
      </c>
      <c r="F269" s="16">
        <v>0</v>
      </c>
    </row>
    <row r="270" spans="1:6" x14ac:dyDescent="0.2">
      <c r="A270" s="16">
        <v>16.25</v>
      </c>
      <c r="B270" s="16">
        <v>0.83499999999999996</v>
      </c>
      <c r="C270" s="16">
        <v>8.5000000000000006E-2</v>
      </c>
      <c r="D270" s="16">
        <v>200</v>
      </c>
      <c r="E270" s="16">
        <v>0</v>
      </c>
      <c r="F270" s="16">
        <v>0</v>
      </c>
    </row>
    <row r="271" spans="1:6" x14ac:dyDescent="0.2">
      <c r="A271" s="16">
        <v>21.17</v>
      </c>
      <c r="B271" s="16">
        <v>0.875</v>
      </c>
      <c r="C271" s="16">
        <v>0.25</v>
      </c>
      <c r="D271" s="16">
        <v>280</v>
      </c>
      <c r="E271" s="16">
        <v>204</v>
      </c>
      <c r="F271" s="16">
        <v>0</v>
      </c>
    </row>
    <row r="272" spans="1:6" x14ac:dyDescent="0.2">
      <c r="A272" s="16">
        <v>23.92</v>
      </c>
      <c r="B272" s="16">
        <v>0.58499999999999996</v>
      </c>
      <c r="C272" s="16">
        <v>0.125</v>
      </c>
      <c r="D272" s="16">
        <v>240</v>
      </c>
      <c r="E272" s="16">
        <v>1</v>
      </c>
      <c r="F272" s="16">
        <v>0</v>
      </c>
    </row>
    <row r="273" spans="1:6" x14ac:dyDescent="0.2">
      <c r="A273" s="16">
        <v>17.670000000000002</v>
      </c>
      <c r="B273" s="16">
        <v>4.46</v>
      </c>
      <c r="C273" s="16">
        <v>0.25</v>
      </c>
      <c r="D273" s="16">
        <v>80</v>
      </c>
      <c r="E273" s="16">
        <v>0</v>
      </c>
      <c r="F273" s="16">
        <v>0</v>
      </c>
    </row>
    <row r="274" spans="1:6" x14ac:dyDescent="0.2">
      <c r="A274" s="16">
        <v>16.5</v>
      </c>
      <c r="B274" s="16">
        <v>1.25</v>
      </c>
      <c r="C274" s="16">
        <v>0.25</v>
      </c>
      <c r="D274" s="16">
        <v>108</v>
      </c>
      <c r="E274" s="16">
        <v>98</v>
      </c>
      <c r="F274" s="16">
        <v>0</v>
      </c>
    </row>
    <row r="275" spans="1:6" x14ac:dyDescent="0.2">
      <c r="A275" s="16">
        <v>23.25</v>
      </c>
      <c r="B275" s="16">
        <v>12.625</v>
      </c>
      <c r="C275" s="16">
        <v>0.125</v>
      </c>
      <c r="D275" s="16">
        <v>0</v>
      </c>
      <c r="E275" s="16">
        <v>5552</v>
      </c>
      <c r="F275" s="16">
        <v>0</v>
      </c>
    </row>
    <row r="276" spans="1:6" x14ac:dyDescent="0.2">
      <c r="A276" s="16">
        <v>17.579999999999998</v>
      </c>
      <c r="B276" s="16">
        <v>10</v>
      </c>
      <c r="C276" s="16">
        <v>0.16500000000000001</v>
      </c>
      <c r="D276" s="16">
        <v>120</v>
      </c>
      <c r="E276" s="16">
        <v>1</v>
      </c>
      <c r="F276" s="16">
        <v>0</v>
      </c>
    </row>
    <row r="277" spans="1:6" x14ac:dyDescent="0.2">
      <c r="A277" s="16">
        <v>29.5</v>
      </c>
      <c r="B277" s="16">
        <v>0.57999999999999996</v>
      </c>
      <c r="C277" s="16">
        <v>0.28999999999999998</v>
      </c>
      <c r="D277" s="16">
        <v>340</v>
      </c>
      <c r="E277" s="16">
        <v>2803</v>
      </c>
      <c r="F277" s="16">
        <v>0</v>
      </c>
    </row>
    <row r="278" spans="1:6" x14ac:dyDescent="0.2">
      <c r="A278" s="16">
        <v>18.829999999999998</v>
      </c>
      <c r="B278" s="16">
        <v>0.41499999999999998</v>
      </c>
      <c r="C278" s="16">
        <v>0.16500000000000001</v>
      </c>
      <c r="D278" s="16">
        <v>200</v>
      </c>
      <c r="E278" s="16">
        <v>1</v>
      </c>
      <c r="F278" s="16">
        <v>0</v>
      </c>
    </row>
    <row r="279" spans="1:6" x14ac:dyDescent="0.2">
      <c r="A279" s="16">
        <v>21.75</v>
      </c>
      <c r="B279" s="16">
        <v>1.75</v>
      </c>
      <c r="C279" s="16">
        <v>0</v>
      </c>
      <c r="D279" s="16">
        <v>160</v>
      </c>
      <c r="E279" s="16">
        <v>0</v>
      </c>
      <c r="F279" s="16">
        <v>0</v>
      </c>
    </row>
    <row r="280" spans="1:6" x14ac:dyDescent="0.2">
      <c r="A280" s="16">
        <v>23</v>
      </c>
      <c r="B280" s="16">
        <v>0.75</v>
      </c>
      <c r="C280" s="16">
        <v>0.5</v>
      </c>
      <c r="D280" s="16">
        <v>320</v>
      </c>
      <c r="E280" s="16">
        <v>0</v>
      </c>
      <c r="F280" s="16">
        <v>0</v>
      </c>
    </row>
    <row r="281" spans="1:6" x14ac:dyDescent="0.2">
      <c r="A281" s="16">
        <v>18.25</v>
      </c>
      <c r="B281" s="16">
        <v>10</v>
      </c>
      <c r="C281" s="16">
        <v>1</v>
      </c>
      <c r="D281" s="16">
        <v>120</v>
      </c>
      <c r="E281" s="16">
        <v>1</v>
      </c>
      <c r="F281" s="16">
        <v>0</v>
      </c>
    </row>
    <row r="282" spans="1:6" x14ac:dyDescent="0.2">
      <c r="A282" s="16">
        <v>25.42</v>
      </c>
      <c r="B282" s="16">
        <v>0.54</v>
      </c>
      <c r="C282" s="16">
        <v>0.16500000000000001</v>
      </c>
      <c r="D282" s="16">
        <v>272</v>
      </c>
      <c r="E282" s="16">
        <v>444</v>
      </c>
      <c r="F282" s="16">
        <v>0</v>
      </c>
    </row>
    <row r="283" spans="1:6" x14ac:dyDescent="0.2">
      <c r="A283" s="16">
        <v>35.75</v>
      </c>
      <c r="B283" s="16">
        <v>2.415</v>
      </c>
      <c r="C283" s="16">
        <v>0.125</v>
      </c>
      <c r="D283" s="16">
        <v>220</v>
      </c>
      <c r="E283" s="16">
        <v>1</v>
      </c>
      <c r="F283" s="16">
        <v>0</v>
      </c>
    </row>
    <row r="284" spans="1:6" x14ac:dyDescent="0.2">
      <c r="A284" s="16">
        <v>16.079999999999998</v>
      </c>
      <c r="B284" s="16">
        <v>0.33500000000000002</v>
      </c>
      <c r="C284" s="16">
        <v>0</v>
      </c>
      <c r="D284" s="16">
        <v>160</v>
      </c>
      <c r="E284" s="16">
        <v>126</v>
      </c>
      <c r="F284" s="16">
        <v>0</v>
      </c>
    </row>
    <row r="285" spans="1:6" x14ac:dyDescent="0.2">
      <c r="A285" s="16">
        <v>31.92</v>
      </c>
      <c r="B285" s="16">
        <v>3.125</v>
      </c>
      <c r="C285" s="16">
        <v>3.04</v>
      </c>
      <c r="D285" s="16">
        <v>200</v>
      </c>
      <c r="E285" s="16">
        <v>4</v>
      </c>
      <c r="F285" s="16">
        <v>0</v>
      </c>
    </row>
    <row r="286" spans="1:6" x14ac:dyDescent="0.2">
      <c r="A286" s="16">
        <v>69.17</v>
      </c>
      <c r="B286" s="16">
        <v>9</v>
      </c>
      <c r="C286" s="16">
        <v>4</v>
      </c>
      <c r="D286" s="16">
        <v>70</v>
      </c>
      <c r="E286" s="16">
        <v>6</v>
      </c>
      <c r="F286" s="16">
        <v>0</v>
      </c>
    </row>
    <row r="287" spans="1:6" x14ac:dyDescent="0.2">
      <c r="A287" s="16">
        <v>32.92</v>
      </c>
      <c r="B287" s="16">
        <v>2.5</v>
      </c>
      <c r="C287" s="16">
        <v>1.75</v>
      </c>
      <c r="D287" s="16">
        <v>720</v>
      </c>
      <c r="E287" s="16">
        <v>0</v>
      </c>
      <c r="F287" s="16">
        <v>0</v>
      </c>
    </row>
    <row r="288" spans="1:6" x14ac:dyDescent="0.2">
      <c r="A288" s="16">
        <v>16.329999999999998</v>
      </c>
      <c r="B288" s="16">
        <v>2.75</v>
      </c>
      <c r="C288" s="16">
        <v>0.66500000000000004</v>
      </c>
      <c r="D288" s="16">
        <v>80</v>
      </c>
      <c r="E288" s="16">
        <v>21</v>
      </c>
      <c r="F288" s="16">
        <v>0</v>
      </c>
    </row>
    <row r="289" spans="1:6" x14ac:dyDescent="0.2">
      <c r="A289" s="16">
        <v>22.17</v>
      </c>
      <c r="B289" s="16">
        <v>12.125</v>
      </c>
      <c r="C289" s="16">
        <v>3.335</v>
      </c>
      <c r="D289" s="16">
        <v>180</v>
      </c>
      <c r="E289" s="16">
        <v>173</v>
      </c>
      <c r="F289" s="16">
        <v>0</v>
      </c>
    </row>
    <row r="290" spans="1:6" x14ac:dyDescent="0.2">
      <c r="A290" s="16">
        <v>57.58</v>
      </c>
      <c r="B290" s="16">
        <v>2</v>
      </c>
      <c r="C290" s="16">
        <v>6.5</v>
      </c>
      <c r="D290" s="16">
        <v>0</v>
      </c>
      <c r="E290" s="16">
        <v>10</v>
      </c>
      <c r="F290" s="16">
        <v>0</v>
      </c>
    </row>
    <row r="291" spans="1:6" x14ac:dyDescent="0.2">
      <c r="A291" s="16">
        <v>18.25</v>
      </c>
      <c r="B291" s="16">
        <v>0.16500000000000001</v>
      </c>
      <c r="C291" s="16">
        <v>0.25</v>
      </c>
      <c r="D291" s="16">
        <v>280</v>
      </c>
      <c r="E291" s="16">
        <v>0</v>
      </c>
      <c r="F291" s="16">
        <v>0</v>
      </c>
    </row>
    <row r="292" spans="1:6" x14ac:dyDescent="0.2">
      <c r="A292" s="16">
        <v>23.42</v>
      </c>
      <c r="B292" s="16">
        <v>1</v>
      </c>
      <c r="C292" s="16">
        <v>0.5</v>
      </c>
      <c r="D292" s="16">
        <v>280</v>
      </c>
      <c r="E292" s="16">
        <v>0</v>
      </c>
      <c r="F292" s="16">
        <v>0</v>
      </c>
    </row>
    <row r="293" spans="1:6" x14ac:dyDescent="0.2">
      <c r="A293" s="16">
        <v>15.92</v>
      </c>
      <c r="B293" s="16">
        <v>2.875</v>
      </c>
      <c r="C293" s="16">
        <v>8.5000000000000006E-2</v>
      </c>
      <c r="D293" s="16">
        <v>120</v>
      </c>
      <c r="E293" s="16">
        <v>0</v>
      </c>
      <c r="F293" s="16">
        <v>0</v>
      </c>
    </row>
    <row r="294" spans="1:6" x14ac:dyDescent="0.2">
      <c r="A294" s="16">
        <v>24.75</v>
      </c>
      <c r="B294" s="16">
        <v>13.664999999999999</v>
      </c>
      <c r="C294" s="16">
        <v>1.5</v>
      </c>
      <c r="D294" s="16">
        <v>280</v>
      </c>
      <c r="E294" s="16">
        <v>1</v>
      </c>
      <c r="F294" s="16">
        <v>0</v>
      </c>
    </row>
    <row r="295" spans="1:6" x14ac:dyDescent="0.2">
      <c r="A295" s="16">
        <v>48.75</v>
      </c>
      <c r="B295" s="16">
        <v>26.335000000000001</v>
      </c>
      <c r="C295" s="16">
        <v>0</v>
      </c>
      <c r="D295" s="16">
        <v>0</v>
      </c>
      <c r="E295" s="16">
        <v>0</v>
      </c>
      <c r="F295" s="16">
        <v>0</v>
      </c>
    </row>
    <row r="296" spans="1:6" x14ac:dyDescent="0.2">
      <c r="A296" s="16">
        <v>23.5</v>
      </c>
      <c r="B296" s="16">
        <v>2.75</v>
      </c>
      <c r="C296" s="16">
        <v>4.5</v>
      </c>
      <c r="D296" s="16">
        <v>160</v>
      </c>
      <c r="E296" s="16">
        <v>25</v>
      </c>
      <c r="F296" s="16">
        <v>0</v>
      </c>
    </row>
    <row r="297" spans="1:6" x14ac:dyDescent="0.2">
      <c r="A297" s="16">
        <v>18.579999999999998</v>
      </c>
      <c r="B297" s="16">
        <v>10.29</v>
      </c>
      <c r="C297" s="16">
        <v>0.41499999999999998</v>
      </c>
      <c r="D297" s="16">
        <v>80</v>
      </c>
      <c r="E297" s="16">
        <v>0</v>
      </c>
      <c r="F297" s="16">
        <v>0</v>
      </c>
    </row>
    <row r="298" spans="1:6" x14ac:dyDescent="0.2">
      <c r="A298" s="16">
        <v>27.75</v>
      </c>
      <c r="B298" s="16">
        <v>1.29</v>
      </c>
      <c r="C298" s="16">
        <v>0.25</v>
      </c>
      <c r="D298" s="16">
        <v>140</v>
      </c>
      <c r="E298" s="16">
        <v>0</v>
      </c>
      <c r="F298" s="16">
        <v>0</v>
      </c>
    </row>
    <row r="299" spans="1:6" x14ac:dyDescent="0.2">
      <c r="A299" s="16">
        <v>31.75</v>
      </c>
      <c r="B299" s="16">
        <v>3</v>
      </c>
      <c r="C299" s="16">
        <v>0</v>
      </c>
      <c r="D299" s="16">
        <v>160</v>
      </c>
      <c r="E299" s="16">
        <v>20</v>
      </c>
      <c r="F299" s="16">
        <v>0</v>
      </c>
    </row>
    <row r="300" spans="1:6" x14ac:dyDescent="0.2">
      <c r="A300" s="16">
        <v>24.83</v>
      </c>
      <c r="B300" s="16">
        <v>4.5</v>
      </c>
      <c r="C300" s="16">
        <v>1</v>
      </c>
      <c r="D300" s="16">
        <v>360</v>
      </c>
      <c r="E300" s="16">
        <v>6</v>
      </c>
      <c r="F300" s="16">
        <v>0</v>
      </c>
    </row>
    <row r="301" spans="1:6" x14ac:dyDescent="0.2">
      <c r="A301" s="16">
        <v>19</v>
      </c>
      <c r="B301" s="16">
        <v>1.75</v>
      </c>
      <c r="C301" s="16">
        <v>2.335</v>
      </c>
      <c r="D301" s="16">
        <v>112</v>
      </c>
      <c r="E301" s="16">
        <v>6</v>
      </c>
      <c r="F301" s="16">
        <v>0</v>
      </c>
    </row>
    <row r="302" spans="1:6" x14ac:dyDescent="0.2">
      <c r="A302" s="16">
        <v>16.329999999999998</v>
      </c>
      <c r="B302" s="16">
        <v>0.21</v>
      </c>
      <c r="C302" s="16">
        <v>0.125</v>
      </c>
      <c r="D302" s="16">
        <v>200</v>
      </c>
      <c r="E302" s="16">
        <v>1</v>
      </c>
      <c r="F302" s="16">
        <v>0</v>
      </c>
    </row>
    <row r="303" spans="1:6" x14ac:dyDescent="0.2">
      <c r="A303" s="16">
        <v>18.579999999999998</v>
      </c>
      <c r="B303" s="16">
        <v>10</v>
      </c>
      <c r="C303" s="16">
        <v>0.41499999999999998</v>
      </c>
      <c r="D303" s="16">
        <v>80</v>
      </c>
      <c r="E303" s="16">
        <v>42</v>
      </c>
      <c r="F303" s="16">
        <v>0</v>
      </c>
    </row>
    <row r="304" spans="1:6" x14ac:dyDescent="0.2">
      <c r="A304" s="16">
        <v>16.25</v>
      </c>
      <c r="B304" s="16">
        <v>0</v>
      </c>
      <c r="C304" s="16">
        <v>0.25</v>
      </c>
      <c r="D304" s="16">
        <v>60</v>
      </c>
      <c r="E304" s="16">
        <v>0</v>
      </c>
      <c r="F304" s="16">
        <v>0</v>
      </c>
    </row>
    <row r="305" spans="1:6" x14ac:dyDescent="0.2">
      <c r="A305" s="16">
        <v>23</v>
      </c>
      <c r="B305" s="16">
        <v>0.75</v>
      </c>
      <c r="C305" s="16">
        <v>0.5</v>
      </c>
      <c r="D305" s="16">
        <v>320</v>
      </c>
      <c r="E305" s="16">
        <v>0</v>
      </c>
      <c r="F305" s="16">
        <v>0</v>
      </c>
    </row>
    <row r="306" spans="1:6" x14ac:dyDescent="0.2">
      <c r="A306" s="16">
        <v>21.17</v>
      </c>
      <c r="B306" s="16">
        <v>0.25</v>
      </c>
      <c r="C306" s="16">
        <v>0.25</v>
      </c>
      <c r="D306" s="16">
        <v>280</v>
      </c>
      <c r="E306" s="16">
        <v>204</v>
      </c>
      <c r="F306" s="16">
        <v>0</v>
      </c>
    </row>
    <row r="307" spans="1:6" x14ac:dyDescent="0.2">
      <c r="A307" s="16">
        <v>17.5</v>
      </c>
      <c r="B307" s="16">
        <v>22</v>
      </c>
      <c r="C307" s="16">
        <v>0</v>
      </c>
      <c r="D307" s="16">
        <v>450</v>
      </c>
      <c r="E307" s="16">
        <v>100000</v>
      </c>
      <c r="F307" s="16">
        <v>1</v>
      </c>
    </row>
    <row r="308" spans="1:6" x14ac:dyDescent="0.2">
      <c r="A308" s="16">
        <v>19.170000000000002</v>
      </c>
      <c r="B308" s="16">
        <v>0</v>
      </c>
      <c r="C308" s="16">
        <v>0</v>
      </c>
      <c r="D308" s="16">
        <v>500</v>
      </c>
      <c r="E308" s="16">
        <v>1</v>
      </c>
      <c r="F308" s="16">
        <v>1</v>
      </c>
    </row>
    <row r="309" spans="1:6" x14ac:dyDescent="0.2">
      <c r="A309" s="16">
        <v>36.75</v>
      </c>
      <c r="B309" s="16">
        <v>0.125</v>
      </c>
      <c r="C309" s="16">
        <v>1.5</v>
      </c>
      <c r="D309" s="16">
        <v>232</v>
      </c>
      <c r="E309" s="16">
        <v>113</v>
      </c>
      <c r="F309" s="16">
        <v>1</v>
      </c>
    </row>
    <row r="310" spans="1:6" x14ac:dyDescent="0.2">
      <c r="A310" s="16">
        <v>21.25</v>
      </c>
      <c r="B310" s="16">
        <v>1.5</v>
      </c>
      <c r="C310" s="16">
        <v>1.5</v>
      </c>
      <c r="D310" s="16">
        <v>150</v>
      </c>
      <c r="E310" s="16">
        <v>8</v>
      </c>
      <c r="F310" s="16">
        <v>1</v>
      </c>
    </row>
    <row r="311" spans="1:6" x14ac:dyDescent="0.2">
      <c r="A311" s="16">
        <v>18.079999999999998</v>
      </c>
      <c r="B311" s="16">
        <v>0.375</v>
      </c>
      <c r="C311" s="16">
        <v>10</v>
      </c>
      <c r="D311" s="16">
        <v>300</v>
      </c>
      <c r="E311" s="16">
        <v>0</v>
      </c>
      <c r="F311" s="16">
        <v>1</v>
      </c>
    </row>
    <row r="312" spans="1:6" x14ac:dyDescent="0.2">
      <c r="A312" s="16">
        <v>33.67</v>
      </c>
      <c r="B312" s="16">
        <v>0.375</v>
      </c>
      <c r="C312" s="16">
        <v>0.375</v>
      </c>
      <c r="D312" s="16">
        <v>300</v>
      </c>
      <c r="E312" s="16">
        <v>44</v>
      </c>
      <c r="F312" s="16">
        <v>1</v>
      </c>
    </row>
    <row r="313" spans="1:6" x14ac:dyDescent="0.2">
      <c r="A313" s="16">
        <v>48.58</v>
      </c>
      <c r="B313" s="16">
        <v>0.20499999999999999</v>
      </c>
      <c r="C313" s="16">
        <v>0.25</v>
      </c>
      <c r="D313" s="16">
        <v>380</v>
      </c>
      <c r="E313" s="16">
        <v>2732</v>
      </c>
      <c r="F313" s="16">
        <v>1</v>
      </c>
    </row>
    <row r="314" spans="1:6" x14ac:dyDescent="0.2">
      <c r="A314" s="16">
        <v>33.67</v>
      </c>
      <c r="B314" s="16">
        <v>1.25</v>
      </c>
      <c r="C314" s="16">
        <v>1.165</v>
      </c>
      <c r="D314" s="16">
        <v>120</v>
      </c>
      <c r="E314" s="16">
        <v>0</v>
      </c>
      <c r="F314" s="16">
        <v>0</v>
      </c>
    </row>
    <row r="315" spans="1:6" x14ac:dyDescent="0.2">
      <c r="A315" s="16">
        <v>29.5</v>
      </c>
      <c r="B315" s="16">
        <v>1.085</v>
      </c>
      <c r="C315" s="16">
        <v>1</v>
      </c>
      <c r="D315" s="16">
        <v>280</v>
      </c>
      <c r="E315" s="16">
        <v>13</v>
      </c>
      <c r="F315" s="16">
        <v>0</v>
      </c>
    </row>
    <row r="316" spans="1:6" x14ac:dyDescent="0.2">
      <c r="A316" s="16">
        <v>30.17</v>
      </c>
      <c r="B316" s="16">
        <v>1.085</v>
      </c>
      <c r="C316" s="16">
        <v>0.04</v>
      </c>
      <c r="D316" s="16">
        <v>170</v>
      </c>
      <c r="E316" s="16">
        <v>179</v>
      </c>
      <c r="F316" s="16">
        <v>0</v>
      </c>
    </row>
    <row r="317" spans="1:6" x14ac:dyDescent="0.2">
      <c r="A317" s="16">
        <v>40.83</v>
      </c>
      <c r="B317" s="16">
        <v>3.5</v>
      </c>
      <c r="C317" s="16">
        <v>0.5</v>
      </c>
      <c r="D317" s="16">
        <v>1160</v>
      </c>
      <c r="E317" s="16">
        <v>0</v>
      </c>
      <c r="F317" s="16">
        <v>0</v>
      </c>
    </row>
    <row r="318" spans="1:6" x14ac:dyDescent="0.2">
      <c r="A318" s="16">
        <v>34.83</v>
      </c>
      <c r="B318" s="16">
        <v>2.5</v>
      </c>
      <c r="C318" s="16">
        <v>3</v>
      </c>
      <c r="D318" s="16">
        <v>200</v>
      </c>
      <c r="E318" s="16">
        <v>0</v>
      </c>
      <c r="F318" s="16">
        <v>0</v>
      </c>
    </row>
    <row r="319" spans="1:6" x14ac:dyDescent="0.2">
      <c r="A319" s="16">
        <v>33.25</v>
      </c>
      <c r="B319" s="16">
        <v>2.5</v>
      </c>
      <c r="C319" s="16">
        <v>2.5</v>
      </c>
      <c r="D319" s="16">
        <v>0</v>
      </c>
      <c r="E319" s="16">
        <v>2</v>
      </c>
      <c r="F319" s="16">
        <v>0</v>
      </c>
    </row>
    <row r="320" spans="1:6" x14ac:dyDescent="0.2">
      <c r="A320" s="16">
        <v>34.08</v>
      </c>
      <c r="B320" s="16">
        <v>2.5</v>
      </c>
      <c r="C320" s="16">
        <v>1</v>
      </c>
      <c r="D320" s="16">
        <v>460</v>
      </c>
      <c r="E320" s="16">
        <v>16</v>
      </c>
      <c r="F320" s="16">
        <v>0</v>
      </c>
    </row>
    <row r="321" spans="1:6" x14ac:dyDescent="0.2">
      <c r="A321" s="16">
        <v>25.25</v>
      </c>
      <c r="B321" s="16">
        <v>12.5</v>
      </c>
      <c r="C321" s="16">
        <v>1</v>
      </c>
      <c r="D321" s="16">
        <v>180</v>
      </c>
      <c r="E321" s="16">
        <v>1062</v>
      </c>
      <c r="F321" s="16">
        <v>0</v>
      </c>
    </row>
    <row r="322" spans="1:6" x14ac:dyDescent="0.2">
      <c r="A322" s="16">
        <v>34.75</v>
      </c>
      <c r="B322" s="16">
        <v>2.5</v>
      </c>
      <c r="C322" s="16">
        <v>0.5</v>
      </c>
      <c r="D322" s="16">
        <v>348</v>
      </c>
      <c r="E322" s="16">
        <v>0</v>
      </c>
      <c r="F322" s="16">
        <v>0</v>
      </c>
    </row>
    <row r="323" spans="1:6" x14ac:dyDescent="0.2">
      <c r="A323" s="16">
        <v>27.67</v>
      </c>
      <c r="B323" s="16">
        <v>0.75</v>
      </c>
      <c r="C323" s="16">
        <v>0.16500000000000001</v>
      </c>
      <c r="D323" s="16">
        <v>220</v>
      </c>
      <c r="E323" s="16">
        <v>251</v>
      </c>
      <c r="F323" s="16">
        <v>0</v>
      </c>
    </row>
    <row r="324" spans="1:6" x14ac:dyDescent="0.2">
      <c r="A324" s="16">
        <v>47.33</v>
      </c>
      <c r="B324" s="16">
        <v>6.5</v>
      </c>
      <c r="C324" s="16">
        <v>1</v>
      </c>
      <c r="D324" s="16">
        <v>0</v>
      </c>
      <c r="E324" s="16">
        <v>228</v>
      </c>
      <c r="F324" s="16">
        <v>0</v>
      </c>
    </row>
    <row r="325" spans="1:6" x14ac:dyDescent="0.2">
      <c r="A325" s="16">
        <v>34.83</v>
      </c>
      <c r="B325" s="16">
        <v>1.25</v>
      </c>
      <c r="C325" s="16">
        <v>0.5</v>
      </c>
      <c r="D325" s="16">
        <v>160</v>
      </c>
      <c r="E325" s="16">
        <v>0</v>
      </c>
      <c r="F325" s="16">
        <v>0</v>
      </c>
    </row>
    <row r="326" spans="1:6" x14ac:dyDescent="0.2">
      <c r="A326" s="16">
        <v>33.25</v>
      </c>
      <c r="B326" s="16">
        <v>3</v>
      </c>
      <c r="C326" s="16">
        <v>2</v>
      </c>
      <c r="D326" s="16">
        <v>180</v>
      </c>
      <c r="E326" s="16">
        <v>0</v>
      </c>
      <c r="F326" s="16">
        <v>0</v>
      </c>
    </row>
    <row r="327" spans="1:6" x14ac:dyDescent="0.2">
      <c r="A327" s="16">
        <v>28</v>
      </c>
      <c r="B327" s="16">
        <v>3</v>
      </c>
      <c r="C327" s="16">
        <v>0.75</v>
      </c>
      <c r="D327" s="16">
        <v>300</v>
      </c>
      <c r="E327" s="16">
        <v>67</v>
      </c>
      <c r="F327" s="16">
        <v>0</v>
      </c>
    </row>
    <row r="328" spans="1:6" x14ac:dyDescent="0.2">
      <c r="A328" s="16">
        <v>39.08</v>
      </c>
      <c r="B328" s="16">
        <v>4</v>
      </c>
      <c r="C328" s="16">
        <v>3</v>
      </c>
      <c r="D328" s="16">
        <v>480</v>
      </c>
      <c r="E328" s="16">
        <v>0</v>
      </c>
      <c r="F328" s="16">
        <v>0</v>
      </c>
    </row>
    <row r="329" spans="1:6" x14ac:dyDescent="0.2">
      <c r="A329" s="16">
        <v>42.75</v>
      </c>
      <c r="B329" s="16">
        <v>4.085</v>
      </c>
      <c r="C329" s="16">
        <v>0.04</v>
      </c>
      <c r="D329" s="16">
        <v>108</v>
      </c>
      <c r="E329" s="16">
        <v>100</v>
      </c>
      <c r="F329" s="16">
        <v>0</v>
      </c>
    </row>
    <row r="330" spans="1:6" x14ac:dyDescent="0.2">
      <c r="A330" s="16">
        <v>26.92</v>
      </c>
      <c r="B330" s="16">
        <v>2.25</v>
      </c>
      <c r="C330" s="16">
        <v>0.5</v>
      </c>
      <c r="D330" s="16">
        <v>640</v>
      </c>
      <c r="E330" s="16">
        <v>4000</v>
      </c>
      <c r="F330" s="16">
        <v>0</v>
      </c>
    </row>
    <row r="331" spans="1:6" x14ac:dyDescent="0.2">
      <c r="A331" s="16">
        <v>33.75</v>
      </c>
      <c r="B331" s="16">
        <v>2.75</v>
      </c>
      <c r="C331" s="16">
        <v>0</v>
      </c>
      <c r="D331" s="16">
        <v>180</v>
      </c>
      <c r="E331" s="16">
        <v>0</v>
      </c>
      <c r="F331" s="16">
        <v>0</v>
      </c>
    </row>
    <row r="332" spans="1:6" x14ac:dyDescent="0.2">
      <c r="A332" s="16">
        <v>38.92</v>
      </c>
      <c r="B332" s="16">
        <v>1.75</v>
      </c>
      <c r="C332" s="16">
        <v>0.5</v>
      </c>
      <c r="D332" s="16">
        <v>300</v>
      </c>
      <c r="E332" s="16">
        <v>2</v>
      </c>
      <c r="F332" s="16">
        <v>0</v>
      </c>
    </row>
    <row r="333" spans="1:6" x14ac:dyDescent="0.2">
      <c r="A333" s="16">
        <v>62.75</v>
      </c>
      <c r="B333" s="16">
        <v>7</v>
      </c>
      <c r="C333" s="16">
        <v>0</v>
      </c>
      <c r="D333" s="16">
        <v>0</v>
      </c>
      <c r="E333" s="16">
        <v>12</v>
      </c>
      <c r="F333" s="16">
        <v>0</v>
      </c>
    </row>
    <row r="334" spans="1:6" x14ac:dyDescent="0.2">
      <c r="A334" s="16">
        <v>32.25</v>
      </c>
      <c r="B334" s="16">
        <v>1.5</v>
      </c>
      <c r="C334" s="16">
        <v>0.25</v>
      </c>
      <c r="D334" s="16">
        <v>372</v>
      </c>
      <c r="E334" s="16">
        <v>122</v>
      </c>
      <c r="F334" s="16">
        <v>0</v>
      </c>
    </row>
    <row r="335" spans="1:6" x14ac:dyDescent="0.2">
      <c r="A335" s="16">
        <v>26.75</v>
      </c>
      <c r="B335" s="16">
        <v>4.5</v>
      </c>
      <c r="C335" s="16">
        <v>2.5</v>
      </c>
      <c r="D335" s="16">
        <v>200</v>
      </c>
      <c r="E335" s="16">
        <v>1210</v>
      </c>
      <c r="F335" s="16">
        <v>0</v>
      </c>
    </row>
    <row r="336" spans="1:6" x14ac:dyDescent="0.2">
      <c r="A336" s="16">
        <v>63.33</v>
      </c>
      <c r="B336" s="16">
        <v>0.54</v>
      </c>
      <c r="C336" s="16">
        <v>0.58499999999999996</v>
      </c>
      <c r="D336" s="16">
        <v>180</v>
      </c>
      <c r="E336" s="16">
        <v>0</v>
      </c>
      <c r="F336" s="16">
        <v>0</v>
      </c>
    </row>
    <row r="337" spans="1:6" x14ac:dyDescent="0.2">
      <c r="A337" s="16">
        <v>27.83</v>
      </c>
      <c r="B337" s="16">
        <v>1.5</v>
      </c>
      <c r="C337" s="16">
        <v>2.25</v>
      </c>
      <c r="D337" s="16">
        <v>100</v>
      </c>
      <c r="E337" s="16">
        <v>3</v>
      </c>
      <c r="F337" s="16">
        <v>0</v>
      </c>
    </row>
    <row r="338" spans="1:6" x14ac:dyDescent="0.2">
      <c r="A338" s="16">
        <v>26.17</v>
      </c>
      <c r="B338" s="16">
        <v>2</v>
      </c>
      <c r="C338" s="16">
        <v>0</v>
      </c>
      <c r="D338" s="16">
        <v>276</v>
      </c>
      <c r="E338" s="16">
        <v>1</v>
      </c>
      <c r="F338" s="16">
        <v>0</v>
      </c>
    </row>
    <row r="339" spans="1:6" x14ac:dyDescent="0.2">
      <c r="A339" s="16">
        <v>22.17</v>
      </c>
      <c r="B339" s="16">
        <v>0.58499999999999996</v>
      </c>
      <c r="C339" s="16">
        <v>0</v>
      </c>
      <c r="D339" s="16">
        <v>100</v>
      </c>
      <c r="E339" s="16">
        <v>0</v>
      </c>
      <c r="F339" s="16">
        <v>0</v>
      </c>
    </row>
    <row r="340" spans="1:6" x14ac:dyDescent="0.2">
      <c r="A340" s="16">
        <v>22.5</v>
      </c>
      <c r="B340" s="16">
        <v>11.5</v>
      </c>
      <c r="C340" s="16">
        <v>1.5</v>
      </c>
      <c r="D340" s="16">
        <v>0</v>
      </c>
      <c r="E340" s="16">
        <v>4000</v>
      </c>
      <c r="F340" s="16">
        <v>0</v>
      </c>
    </row>
    <row r="341" spans="1:6" x14ac:dyDescent="0.2">
      <c r="A341" s="16">
        <v>30.75</v>
      </c>
      <c r="B341" s="16">
        <v>1.585</v>
      </c>
      <c r="C341" s="16">
        <v>0.58499999999999996</v>
      </c>
      <c r="D341" s="16">
        <v>0</v>
      </c>
      <c r="E341" s="16">
        <v>0</v>
      </c>
      <c r="F341" s="16">
        <v>0</v>
      </c>
    </row>
    <row r="342" spans="1:6" x14ac:dyDescent="0.2">
      <c r="A342" s="16">
        <v>36.67</v>
      </c>
      <c r="B342" s="16">
        <v>2</v>
      </c>
      <c r="C342" s="16">
        <v>0.25</v>
      </c>
      <c r="D342" s="16">
        <v>221</v>
      </c>
      <c r="E342" s="16">
        <v>0</v>
      </c>
      <c r="F342" s="16">
        <v>0</v>
      </c>
    </row>
    <row r="343" spans="1:6" x14ac:dyDescent="0.2">
      <c r="A343" s="16">
        <v>16</v>
      </c>
      <c r="B343" s="16">
        <v>0.16500000000000001</v>
      </c>
      <c r="C343" s="16">
        <v>1</v>
      </c>
      <c r="D343" s="16">
        <v>320</v>
      </c>
      <c r="E343" s="16">
        <v>1</v>
      </c>
      <c r="F343" s="16">
        <v>0</v>
      </c>
    </row>
    <row r="344" spans="1:6" x14ac:dyDescent="0.2">
      <c r="A344" s="16">
        <v>41.17</v>
      </c>
      <c r="B344" s="16">
        <v>1.335</v>
      </c>
      <c r="C344" s="16">
        <v>0.16500000000000001</v>
      </c>
      <c r="D344" s="16">
        <v>168</v>
      </c>
      <c r="E344" s="16">
        <v>0</v>
      </c>
      <c r="F344" s="16">
        <v>0</v>
      </c>
    </row>
    <row r="345" spans="1:6" x14ac:dyDescent="0.2">
      <c r="A345" s="16">
        <v>19.5</v>
      </c>
      <c r="B345" s="16">
        <v>0.16500000000000001</v>
      </c>
      <c r="C345" s="16">
        <v>0.04</v>
      </c>
      <c r="D345" s="16">
        <v>380</v>
      </c>
      <c r="E345" s="16">
        <v>0</v>
      </c>
      <c r="F345" s="16">
        <v>0</v>
      </c>
    </row>
    <row r="346" spans="1:6" x14ac:dyDescent="0.2">
      <c r="A346" s="16">
        <v>32.42</v>
      </c>
      <c r="B346" s="16">
        <v>3</v>
      </c>
      <c r="C346" s="16">
        <v>0.16500000000000001</v>
      </c>
      <c r="D346" s="16">
        <v>120</v>
      </c>
      <c r="E346" s="16">
        <v>0</v>
      </c>
      <c r="F346" s="16">
        <v>0</v>
      </c>
    </row>
    <row r="347" spans="1:6" x14ac:dyDescent="0.2">
      <c r="A347" s="16">
        <v>36.75</v>
      </c>
      <c r="B347" s="16">
        <v>4.71</v>
      </c>
      <c r="C347" s="16">
        <v>0</v>
      </c>
      <c r="D347" s="16">
        <v>160</v>
      </c>
      <c r="E347" s="16">
        <v>0</v>
      </c>
      <c r="F347" s="16">
        <v>0</v>
      </c>
    </row>
    <row r="348" spans="1:6" x14ac:dyDescent="0.2">
      <c r="A348" s="16">
        <v>30.25</v>
      </c>
      <c r="B348" s="16">
        <v>5.5</v>
      </c>
      <c r="C348" s="16">
        <v>5.5</v>
      </c>
      <c r="D348" s="16">
        <v>100</v>
      </c>
      <c r="E348" s="16">
        <v>0</v>
      </c>
      <c r="F348" s="16">
        <v>0</v>
      </c>
    </row>
    <row r="349" spans="1:6" x14ac:dyDescent="0.2">
      <c r="A349" s="16">
        <v>23.08</v>
      </c>
      <c r="B349" s="16">
        <v>2.5</v>
      </c>
      <c r="C349" s="16">
        <v>8.5000000000000006E-2</v>
      </c>
      <c r="D349" s="16">
        <v>100</v>
      </c>
      <c r="E349" s="16">
        <v>4208</v>
      </c>
      <c r="F349" s="16">
        <v>0</v>
      </c>
    </row>
    <row r="350" spans="1:6" x14ac:dyDescent="0.2">
      <c r="A350" s="16">
        <v>26.83</v>
      </c>
      <c r="B350" s="16">
        <v>0.54</v>
      </c>
      <c r="C350" s="16">
        <v>0</v>
      </c>
      <c r="D350" s="16">
        <v>100</v>
      </c>
      <c r="E350" s="16">
        <v>0</v>
      </c>
      <c r="F350" s="16">
        <v>0</v>
      </c>
    </row>
    <row r="351" spans="1:6" x14ac:dyDescent="0.2">
      <c r="A351" s="16">
        <v>16.920000000000002</v>
      </c>
      <c r="B351" s="16">
        <v>0.33500000000000002</v>
      </c>
      <c r="C351" s="16">
        <v>0.28999999999999998</v>
      </c>
      <c r="D351" s="16">
        <v>200</v>
      </c>
      <c r="E351" s="16">
        <v>0</v>
      </c>
      <c r="F351" s="16">
        <v>0</v>
      </c>
    </row>
    <row r="352" spans="1:6" x14ac:dyDescent="0.2">
      <c r="A352" s="16">
        <v>24.42</v>
      </c>
      <c r="B352" s="16">
        <v>2</v>
      </c>
      <c r="C352" s="16">
        <v>0.16500000000000001</v>
      </c>
      <c r="D352" s="16">
        <v>320</v>
      </c>
      <c r="E352" s="16">
        <v>1300</v>
      </c>
      <c r="F352" s="16">
        <v>0</v>
      </c>
    </row>
    <row r="353" spans="1:6" x14ac:dyDescent="0.2">
      <c r="A353" s="16">
        <v>42.83</v>
      </c>
      <c r="B353" s="16">
        <v>1.25</v>
      </c>
      <c r="C353" s="16">
        <v>13.875</v>
      </c>
      <c r="D353" s="16">
        <v>352</v>
      </c>
      <c r="E353" s="16">
        <v>112</v>
      </c>
      <c r="F353" s="16">
        <v>0</v>
      </c>
    </row>
    <row r="354" spans="1:6" x14ac:dyDescent="0.2">
      <c r="A354" s="16">
        <v>22.75</v>
      </c>
      <c r="B354" s="16">
        <v>6.165</v>
      </c>
      <c r="C354" s="16">
        <v>0.16500000000000001</v>
      </c>
      <c r="D354" s="16">
        <v>220</v>
      </c>
      <c r="E354" s="16">
        <v>1000</v>
      </c>
      <c r="F354" s="16">
        <v>0</v>
      </c>
    </row>
    <row r="355" spans="1:6" x14ac:dyDescent="0.2">
      <c r="A355" s="16">
        <v>39.42</v>
      </c>
      <c r="B355" s="16">
        <v>1.71</v>
      </c>
      <c r="C355" s="16">
        <v>0.16500000000000001</v>
      </c>
      <c r="D355" s="16">
        <v>400</v>
      </c>
      <c r="E355" s="16">
        <v>0</v>
      </c>
      <c r="F355" s="16">
        <v>0</v>
      </c>
    </row>
    <row r="356" spans="1:6" x14ac:dyDescent="0.2">
      <c r="A356" s="16">
        <v>23.58</v>
      </c>
      <c r="B356" s="16">
        <v>11.5</v>
      </c>
      <c r="C356" s="16">
        <v>3</v>
      </c>
      <c r="D356" s="16">
        <v>20</v>
      </c>
      <c r="E356" s="16">
        <v>16</v>
      </c>
      <c r="F356" s="16">
        <v>0</v>
      </c>
    </row>
    <row r="357" spans="1:6" x14ac:dyDescent="0.2">
      <c r="A357" s="16">
        <v>21.42</v>
      </c>
      <c r="B357" s="16">
        <v>0.75</v>
      </c>
      <c r="C357" s="16">
        <v>0.75</v>
      </c>
      <c r="D357" s="16">
        <v>132</v>
      </c>
      <c r="E357" s="16">
        <v>2</v>
      </c>
      <c r="F357" s="16">
        <v>0</v>
      </c>
    </row>
    <row r="358" spans="1:6" x14ac:dyDescent="0.2">
      <c r="A358" s="16">
        <v>33</v>
      </c>
      <c r="B358" s="16">
        <v>2.5</v>
      </c>
      <c r="C358" s="16">
        <v>7</v>
      </c>
      <c r="D358" s="16">
        <v>280</v>
      </c>
      <c r="E358" s="16">
        <v>0</v>
      </c>
      <c r="F358" s="16">
        <v>0</v>
      </c>
    </row>
    <row r="359" spans="1:6" x14ac:dyDescent="0.2">
      <c r="A359" s="16">
        <v>26.33</v>
      </c>
      <c r="B359" s="16">
        <v>13</v>
      </c>
      <c r="C359" s="16">
        <v>0</v>
      </c>
      <c r="D359" s="16">
        <v>140</v>
      </c>
      <c r="E359" s="16">
        <v>1110</v>
      </c>
      <c r="F359" s="16">
        <v>0</v>
      </c>
    </row>
    <row r="360" spans="1:6" x14ac:dyDescent="0.2">
      <c r="A360" s="16">
        <v>45</v>
      </c>
      <c r="B360" s="16">
        <v>4.585</v>
      </c>
      <c r="C360" s="16">
        <v>1</v>
      </c>
      <c r="D360" s="16">
        <v>240</v>
      </c>
      <c r="E360" s="16">
        <v>0</v>
      </c>
      <c r="F360" s="16">
        <v>0</v>
      </c>
    </row>
    <row r="361" spans="1:6" x14ac:dyDescent="0.2">
      <c r="A361" s="16">
        <v>26.25</v>
      </c>
      <c r="B361" s="16">
        <v>1.54</v>
      </c>
      <c r="C361" s="16">
        <v>0.125</v>
      </c>
      <c r="D361" s="16">
        <v>100</v>
      </c>
      <c r="E361" s="16">
        <v>0</v>
      </c>
      <c r="F361" s="16">
        <v>0</v>
      </c>
    </row>
    <row r="362" spans="1:6" x14ac:dyDescent="0.2">
      <c r="A362" s="16">
        <v>28.17</v>
      </c>
      <c r="B362" s="16">
        <v>0.58499999999999996</v>
      </c>
      <c r="C362" s="16">
        <v>0.04</v>
      </c>
      <c r="D362" s="16">
        <v>260</v>
      </c>
      <c r="E362" s="16">
        <v>1004</v>
      </c>
      <c r="F362" s="16">
        <v>0</v>
      </c>
    </row>
    <row r="363" spans="1:6" x14ac:dyDescent="0.2">
      <c r="A363" s="16">
        <v>20.83</v>
      </c>
      <c r="B363" s="16">
        <v>0.5</v>
      </c>
      <c r="C363" s="16">
        <v>1</v>
      </c>
      <c r="D363" s="16">
        <v>260</v>
      </c>
      <c r="E363" s="16">
        <v>0</v>
      </c>
      <c r="F363" s="16">
        <v>0</v>
      </c>
    </row>
    <row r="364" spans="1:6" x14ac:dyDescent="0.2">
      <c r="A364" s="16">
        <v>28.67</v>
      </c>
      <c r="B364" s="16">
        <v>14.5</v>
      </c>
      <c r="C364" s="16">
        <v>0.125</v>
      </c>
      <c r="D364" s="16">
        <v>0</v>
      </c>
      <c r="E364" s="16">
        <v>286</v>
      </c>
      <c r="F364" s="16">
        <v>0</v>
      </c>
    </row>
    <row r="365" spans="1:6" x14ac:dyDescent="0.2">
      <c r="A365" s="16">
        <v>20.67</v>
      </c>
      <c r="B365" s="16">
        <v>0.83499999999999996</v>
      </c>
      <c r="C365" s="16">
        <v>2</v>
      </c>
      <c r="D365" s="16">
        <v>240</v>
      </c>
      <c r="E365" s="16">
        <v>0</v>
      </c>
      <c r="F365" s="16">
        <v>0</v>
      </c>
    </row>
    <row r="366" spans="1:6" x14ac:dyDescent="0.2">
      <c r="A366" s="16">
        <v>34.42</v>
      </c>
      <c r="B366" s="16">
        <v>1.335</v>
      </c>
      <c r="C366" s="16">
        <v>0.125</v>
      </c>
      <c r="D366" s="16">
        <v>440</v>
      </c>
      <c r="E366" s="16">
        <v>4500</v>
      </c>
      <c r="F366" s="16">
        <v>0</v>
      </c>
    </row>
    <row r="367" spans="1:6" x14ac:dyDescent="0.2">
      <c r="A367" s="16">
        <v>33.58</v>
      </c>
      <c r="B367" s="16">
        <v>0.25</v>
      </c>
      <c r="C367" s="16">
        <v>4</v>
      </c>
      <c r="D367" s="16">
        <v>420</v>
      </c>
      <c r="E367" s="16">
        <v>0</v>
      </c>
      <c r="F367" s="16">
        <v>0</v>
      </c>
    </row>
    <row r="368" spans="1:6" x14ac:dyDescent="0.2">
      <c r="A368" s="16">
        <v>43.17</v>
      </c>
      <c r="B368" s="16">
        <v>5</v>
      </c>
      <c r="C368" s="16">
        <v>2.25</v>
      </c>
      <c r="D368" s="16">
        <v>141</v>
      </c>
      <c r="E368" s="16">
        <v>0</v>
      </c>
      <c r="F368" s="16">
        <v>0</v>
      </c>
    </row>
    <row r="369" spans="1:6" x14ac:dyDescent="0.2">
      <c r="A369" s="16">
        <v>22.67</v>
      </c>
      <c r="B369" s="16">
        <v>7</v>
      </c>
      <c r="C369" s="16">
        <v>0.16500000000000001</v>
      </c>
      <c r="D369" s="16">
        <v>160</v>
      </c>
      <c r="E369" s="16">
        <v>0</v>
      </c>
      <c r="F369" s="16">
        <v>0</v>
      </c>
    </row>
    <row r="370" spans="1:6" x14ac:dyDescent="0.2">
      <c r="A370" s="16">
        <v>24.33</v>
      </c>
      <c r="B370" s="16">
        <v>2.5</v>
      </c>
      <c r="C370" s="16">
        <v>4.5</v>
      </c>
      <c r="D370" s="16">
        <v>200</v>
      </c>
      <c r="E370" s="16">
        <v>456</v>
      </c>
      <c r="F370" s="16">
        <v>0</v>
      </c>
    </row>
    <row r="371" spans="1:6" x14ac:dyDescent="0.2">
      <c r="A371" s="16">
        <v>56.83</v>
      </c>
      <c r="B371" s="16">
        <v>4.25</v>
      </c>
      <c r="C371" s="16">
        <v>5</v>
      </c>
      <c r="D371" s="16">
        <v>0</v>
      </c>
      <c r="E371" s="16">
        <v>4</v>
      </c>
      <c r="F371" s="16">
        <v>0</v>
      </c>
    </row>
    <row r="372" spans="1:6" x14ac:dyDescent="0.2">
      <c r="A372" s="16">
        <v>22.08</v>
      </c>
      <c r="B372" s="16">
        <v>11.46</v>
      </c>
      <c r="C372" s="16">
        <v>1.585</v>
      </c>
      <c r="D372" s="16">
        <v>100</v>
      </c>
      <c r="E372" s="16">
        <v>1212</v>
      </c>
      <c r="F372" s="16">
        <v>0</v>
      </c>
    </row>
    <row r="373" spans="1:6" x14ac:dyDescent="0.2">
      <c r="A373" s="16">
        <v>34</v>
      </c>
      <c r="B373" s="16">
        <v>5.5</v>
      </c>
      <c r="C373" s="16">
        <v>1.5</v>
      </c>
      <c r="D373" s="16">
        <v>60</v>
      </c>
      <c r="E373" s="16">
        <v>0</v>
      </c>
      <c r="F373" s="16">
        <v>0</v>
      </c>
    </row>
    <row r="374" spans="1:6" x14ac:dyDescent="0.2">
      <c r="A374" s="16">
        <v>22.58</v>
      </c>
      <c r="B374" s="16">
        <v>1.5</v>
      </c>
      <c r="C374" s="16">
        <v>0.54</v>
      </c>
      <c r="D374" s="16">
        <v>120</v>
      </c>
      <c r="E374" s="16">
        <v>67</v>
      </c>
      <c r="F374" s="16">
        <v>0</v>
      </c>
    </row>
    <row r="375" spans="1:6" x14ac:dyDescent="0.2">
      <c r="A375" s="16">
        <v>21.17</v>
      </c>
      <c r="B375" s="16">
        <v>0</v>
      </c>
      <c r="C375" s="16">
        <v>0.5</v>
      </c>
      <c r="D375" s="16">
        <v>0</v>
      </c>
      <c r="E375" s="16">
        <v>0</v>
      </c>
      <c r="F375" s="16">
        <v>0</v>
      </c>
    </row>
    <row r="376" spans="1:6" x14ac:dyDescent="0.2">
      <c r="A376" s="16">
        <v>26.67</v>
      </c>
      <c r="B376" s="16">
        <v>14.585000000000001</v>
      </c>
      <c r="C376" s="16">
        <v>0</v>
      </c>
      <c r="D376" s="16">
        <v>178</v>
      </c>
      <c r="E376" s="16">
        <v>0</v>
      </c>
      <c r="F376" s="16">
        <v>0</v>
      </c>
    </row>
    <row r="377" spans="1:6" x14ac:dyDescent="0.2">
      <c r="A377" s="16">
        <v>22.92</v>
      </c>
      <c r="B377" s="16">
        <v>0.17</v>
      </c>
      <c r="C377" s="16">
        <v>8.5000000000000006E-2</v>
      </c>
      <c r="D377" s="16">
        <v>0</v>
      </c>
      <c r="E377" s="16">
        <v>0</v>
      </c>
      <c r="F377" s="16">
        <v>0</v>
      </c>
    </row>
    <row r="378" spans="1:6" x14ac:dyDescent="0.2">
      <c r="A378" s="16">
        <v>15.17</v>
      </c>
      <c r="B378" s="16">
        <v>7</v>
      </c>
      <c r="C378" s="16">
        <v>1</v>
      </c>
      <c r="D378" s="16">
        <v>600</v>
      </c>
      <c r="E378" s="16">
        <v>0</v>
      </c>
      <c r="F378" s="16">
        <v>0</v>
      </c>
    </row>
    <row r="379" spans="1:6" x14ac:dyDescent="0.2">
      <c r="A379" s="16">
        <v>39.92</v>
      </c>
      <c r="B379" s="16">
        <v>5</v>
      </c>
      <c r="C379" s="16">
        <v>0.21</v>
      </c>
      <c r="D379" s="16">
        <v>550</v>
      </c>
      <c r="E379" s="16">
        <v>0</v>
      </c>
      <c r="F379" s="16">
        <v>0</v>
      </c>
    </row>
    <row r="380" spans="1:6" x14ac:dyDescent="0.2">
      <c r="A380" s="16">
        <v>27.42</v>
      </c>
      <c r="B380" s="16">
        <v>12.5</v>
      </c>
      <c r="C380" s="16">
        <v>0.25</v>
      </c>
      <c r="D380" s="16">
        <v>720</v>
      </c>
      <c r="E380" s="16">
        <v>0</v>
      </c>
      <c r="F380" s="16">
        <v>0</v>
      </c>
    </row>
    <row r="381" spans="1:6" x14ac:dyDescent="0.2">
      <c r="A381" s="16">
        <v>24.75</v>
      </c>
      <c r="B381" s="16">
        <v>0.54</v>
      </c>
      <c r="C381" s="16">
        <v>1</v>
      </c>
      <c r="D381" s="16">
        <v>120</v>
      </c>
      <c r="E381" s="16">
        <v>1</v>
      </c>
      <c r="F381" s="16">
        <v>0</v>
      </c>
    </row>
    <row r="382" spans="1:6" x14ac:dyDescent="0.2">
      <c r="A382" s="16">
        <v>41.17</v>
      </c>
      <c r="B382" s="16">
        <v>1.25</v>
      </c>
      <c r="C382" s="16">
        <v>0.25</v>
      </c>
      <c r="D382" s="16">
        <v>0</v>
      </c>
      <c r="E382" s="16">
        <v>195</v>
      </c>
      <c r="F382" s="16">
        <v>0</v>
      </c>
    </row>
    <row r="383" spans="1:6" x14ac:dyDescent="0.2">
      <c r="A383" s="16">
        <v>33.08</v>
      </c>
      <c r="B383" s="16">
        <v>1.625</v>
      </c>
      <c r="C383" s="16">
        <v>0.54</v>
      </c>
      <c r="D383" s="16">
        <v>0</v>
      </c>
      <c r="E383" s="16">
        <v>0</v>
      </c>
      <c r="F383" s="16">
        <v>0</v>
      </c>
    </row>
    <row r="384" spans="1:6" x14ac:dyDescent="0.2">
      <c r="A384" s="16">
        <v>29.83</v>
      </c>
      <c r="B384" s="16">
        <v>2.04</v>
      </c>
      <c r="C384" s="16">
        <v>0.04</v>
      </c>
      <c r="D384" s="16">
        <v>128</v>
      </c>
      <c r="E384" s="16">
        <v>1</v>
      </c>
      <c r="F384" s="16">
        <v>0</v>
      </c>
    </row>
    <row r="385" spans="1:6" x14ac:dyDescent="0.2">
      <c r="A385" s="16">
        <v>23.58</v>
      </c>
      <c r="B385" s="16">
        <v>0.58499999999999996</v>
      </c>
      <c r="C385" s="16">
        <v>0.125</v>
      </c>
      <c r="D385" s="16">
        <v>120</v>
      </c>
      <c r="E385" s="16">
        <v>87</v>
      </c>
      <c r="F385" s="16">
        <v>0</v>
      </c>
    </row>
    <row r="386" spans="1:6" x14ac:dyDescent="0.2">
      <c r="A386" s="16">
        <v>26.17</v>
      </c>
      <c r="B386" s="16">
        <v>12.5</v>
      </c>
      <c r="C386" s="16">
        <v>1.25</v>
      </c>
      <c r="D386" s="16">
        <v>0</v>
      </c>
      <c r="E386" s="16">
        <v>17</v>
      </c>
      <c r="F386" s="16">
        <v>0</v>
      </c>
    </row>
    <row r="387" spans="1:6" x14ac:dyDescent="0.2">
      <c r="A387" s="16">
        <v>31</v>
      </c>
      <c r="B387" s="16">
        <v>2.085</v>
      </c>
      <c r="C387" s="16">
        <v>8.5000000000000006E-2</v>
      </c>
      <c r="D387" s="16">
        <v>300</v>
      </c>
      <c r="E387" s="16">
        <v>0</v>
      </c>
      <c r="F387" s="16">
        <v>0</v>
      </c>
    </row>
    <row r="388" spans="1:6" x14ac:dyDescent="0.2">
      <c r="A388" s="16">
        <v>20.75</v>
      </c>
      <c r="B388" s="16">
        <v>5.085</v>
      </c>
      <c r="C388" s="16">
        <v>0.28999999999999998</v>
      </c>
      <c r="D388" s="16">
        <v>140</v>
      </c>
      <c r="E388" s="16">
        <v>184</v>
      </c>
      <c r="F388" s="16">
        <v>0</v>
      </c>
    </row>
    <row r="389" spans="1:6" x14ac:dyDescent="0.2">
      <c r="A389" s="16">
        <v>28.92</v>
      </c>
      <c r="B389" s="16">
        <v>0.375</v>
      </c>
      <c r="C389" s="16">
        <v>0.28999999999999998</v>
      </c>
      <c r="D389" s="16">
        <v>220</v>
      </c>
      <c r="E389" s="16">
        <v>140</v>
      </c>
      <c r="F389" s="16">
        <v>0</v>
      </c>
    </row>
    <row r="390" spans="1:6" x14ac:dyDescent="0.2">
      <c r="A390" s="16">
        <v>51.92</v>
      </c>
      <c r="B390" s="16">
        <v>6.5</v>
      </c>
      <c r="C390" s="16">
        <v>3.085</v>
      </c>
      <c r="D390" s="16">
        <v>73</v>
      </c>
      <c r="E390" s="16">
        <v>0</v>
      </c>
      <c r="F390" s="16">
        <v>0</v>
      </c>
    </row>
    <row r="391" spans="1:6" x14ac:dyDescent="0.2">
      <c r="A391" s="16">
        <v>22.67</v>
      </c>
      <c r="B391" s="16">
        <v>0.33500000000000002</v>
      </c>
      <c r="C391" s="16">
        <v>0.75</v>
      </c>
      <c r="D391" s="16">
        <v>160</v>
      </c>
      <c r="E391" s="16">
        <v>0</v>
      </c>
      <c r="F391" s="16">
        <v>0</v>
      </c>
    </row>
    <row r="392" spans="1:6" x14ac:dyDescent="0.2">
      <c r="A392" s="16">
        <v>34</v>
      </c>
      <c r="B392" s="16">
        <v>5.085</v>
      </c>
      <c r="C392" s="16">
        <v>1.085</v>
      </c>
      <c r="D392" s="16">
        <v>480</v>
      </c>
      <c r="E392" s="16">
        <v>0</v>
      </c>
      <c r="F392" s="16">
        <v>0</v>
      </c>
    </row>
    <row r="393" spans="1:6" x14ac:dyDescent="0.2">
      <c r="A393" s="16">
        <v>69.5</v>
      </c>
      <c r="B393" s="16">
        <v>6</v>
      </c>
      <c r="C393" s="16">
        <v>0</v>
      </c>
      <c r="D393" s="16">
        <v>0</v>
      </c>
      <c r="E393" s="16">
        <v>0</v>
      </c>
      <c r="F393" s="16">
        <v>0</v>
      </c>
    </row>
    <row r="394" spans="1:6" x14ac:dyDescent="0.2">
      <c r="A394" s="16">
        <v>19.579999999999998</v>
      </c>
      <c r="B394" s="16">
        <v>0.66500000000000004</v>
      </c>
      <c r="C394" s="16">
        <v>1</v>
      </c>
      <c r="D394" s="16">
        <v>2000</v>
      </c>
      <c r="E394" s="16">
        <v>2</v>
      </c>
      <c r="F394" s="16">
        <v>0</v>
      </c>
    </row>
    <row r="395" spans="1:6" x14ac:dyDescent="0.2">
      <c r="A395" s="16">
        <v>16</v>
      </c>
      <c r="B395" s="16">
        <v>3.125</v>
      </c>
      <c r="C395" s="16">
        <v>8.5000000000000006E-2</v>
      </c>
      <c r="D395" s="16">
        <v>0</v>
      </c>
      <c r="E395" s="16">
        <v>6</v>
      </c>
      <c r="F395" s="16">
        <v>0</v>
      </c>
    </row>
    <row r="396" spans="1:6" x14ac:dyDescent="0.2">
      <c r="A396" s="16">
        <v>17.079999999999998</v>
      </c>
      <c r="B396" s="16">
        <v>0.25</v>
      </c>
      <c r="C396" s="16">
        <v>0.33500000000000002</v>
      </c>
      <c r="D396" s="16">
        <v>160</v>
      </c>
      <c r="E396" s="16">
        <v>8</v>
      </c>
      <c r="F396" s="16">
        <v>0</v>
      </c>
    </row>
    <row r="397" spans="1:6" x14ac:dyDescent="0.2">
      <c r="A397" s="16">
        <v>31.25</v>
      </c>
      <c r="B397" s="16">
        <v>2.835</v>
      </c>
      <c r="C397" s="16">
        <v>0</v>
      </c>
      <c r="D397" s="16">
        <v>176</v>
      </c>
      <c r="E397" s="16">
        <v>146</v>
      </c>
      <c r="F397" s="16">
        <v>0</v>
      </c>
    </row>
    <row r="398" spans="1:6" x14ac:dyDescent="0.2">
      <c r="A398" s="16">
        <v>25.17</v>
      </c>
      <c r="B398" s="16">
        <v>3</v>
      </c>
      <c r="C398" s="16">
        <v>1.25</v>
      </c>
      <c r="D398" s="16">
        <v>0</v>
      </c>
      <c r="E398" s="16">
        <v>22</v>
      </c>
      <c r="F398" s="16">
        <v>0</v>
      </c>
    </row>
    <row r="399" spans="1:6" x14ac:dyDescent="0.2">
      <c r="A399" s="16">
        <v>22.67</v>
      </c>
      <c r="B399" s="16">
        <v>0.79</v>
      </c>
      <c r="C399" s="16">
        <v>8.5000000000000006E-2</v>
      </c>
      <c r="D399" s="16">
        <v>144</v>
      </c>
      <c r="E399" s="16">
        <v>0</v>
      </c>
      <c r="F399" s="16">
        <v>0</v>
      </c>
    </row>
    <row r="400" spans="1:6" x14ac:dyDescent="0.2">
      <c r="A400" s="16">
        <v>40.58</v>
      </c>
      <c r="B400" s="16">
        <v>1.5</v>
      </c>
      <c r="C400" s="16">
        <v>0</v>
      </c>
      <c r="D400" s="16">
        <v>300</v>
      </c>
      <c r="E400" s="16">
        <v>0</v>
      </c>
      <c r="F400" s="16">
        <v>0</v>
      </c>
    </row>
    <row r="401" spans="1:6" x14ac:dyDescent="0.2">
      <c r="A401" s="16">
        <v>22.25</v>
      </c>
      <c r="B401" s="16">
        <v>0.46</v>
      </c>
      <c r="C401" s="16">
        <v>0.125</v>
      </c>
      <c r="D401" s="16">
        <v>280</v>
      </c>
      <c r="E401" s="16">
        <v>55</v>
      </c>
      <c r="F401" s="16">
        <v>0</v>
      </c>
    </row>
    <row r="402" spans="1:6" x14ac:dyDescent="0.2">
      <c r="A402" s="16">
        <v>22.25</v>
      </c>
      <c r="B402" s="16">
        <v>1.25</v>
      </c>
      <c r="C402" s="16">
        <v>3.25</v>
      </c>
      <c r="D402" s="16">
        <v>280</v>
      </c>
      <c r="E402" s="16">
        <v>0</v>
      </c>
      <c r="F402" s="16">
        <v>0</v>
      </c>
    </row>
    <row r="403" spans="1:6" x14ac:dyDescent="0.2">
      <c r="A403" s="16">
        <v>22.5</v>
      </c>
      <c r="B403" s="16">
        <v>0.125</v>
      </c>
      <c r="C403" s="16">
        <v>0.125</v>
      </c>
      <c r="D403" s="16">
        <v>200</v>
      </c>
      <c r="E403" s="16">
        <v>70</v>
      </c>
      <c r="F403" s="16">
        <v>0</v>
      </c>
    </row>
    <row r="404" spans="1:6" x14ac:dyDescent="0.2">
      <c r="A404" s="16">
        <v>23.58</v>
      </c>
      <c r="B404" s="16">
        <v>1.79</v>
      </c>
      <c r="C404" s="16">
        <v>0.54</v>
      </c>
      <c r="D404" s="16">
        <v>136</v>
      </c>
      <c r="E404" s="16">
        <v>1</v>
      </c>
      <c r="F404" s="16">
        <v>0</v>
      </c>
    </row>
    <row r="405" spans="1:6" x14ac:dyDescent="0.2">
      <c r="A405" s="16">
        <v>38.42</v>
      </c>
      <c r="B405" s="16">
        <v>0.70499999999999996</v>
      </c>
      <c r="C405" s="16">
        <v>0.375</v>
      </c>
      <c r="D405" s="16">
        <v>225</v>
      </c>
      <c r="E405" s="16">
        <v>500</v>
      </c>
      <c r="F405" s="16">
        <v>0</v>
      </c>
    </row>
    <row r="406" spans="1:6" x14ac:dyDescent="0.2">
      <c r="A406" s="16">
        <v>26.58</v>
      </c>
      <c r="B406" s="16">
        <v>2.54</v>
      </c>
      <c r="C406" s="16">
        <v>0</v>
      </c>
      <c r="D406" s="16">
        <v>180</v>
      </c>
      <c r="E406" s="16">
        <v>60</v>
      </c>
      <c r="F406" s="16">
        <v>0</v>
      </c>
    </row>
    <row r="407" spans="1:6" x14ac:dyDescent="0.2">
      <c r="A407" s="16">
        <v>35</v>
      </c>
      <c r="B407" s="16">
        <v>2.5</v>
      </c>
      <c r="C407" s="16">
        <v>1</v>
      </c>
      <c r="D407" s="16">
        <v>210</v>
      </c>
      <c r="E407" s="16">
        <v>0</v>
      </c>
      <c r="F407" s="16">
        <v>0</v>
      </c>
    </row>
    <row r="408" spans="1:6" x14ac:dyDescent="0.2">
      <c r="A408" s="16">
        <v>20.420000000000002</v>
      </c>
      <c r="B408" s="16">
        <v>1.085</v>
      </c>
      <c r="C408" s="16">
        <v>1.5</v>
      </c>
      <c r="D408" s="16">
        <v>108</v>
      </c>
      <c r="E408" s="16">
        <v>7</v>
      </c>
      <c r="F408" s="16">
        <v>0</v>
      </c>
    </row>
    <row r="409" spans="1:6" x14ac:dyDescent="0.2">
      <c r="A409" s="16">
        <v>29.42</v>
      </c>
      <c r="B409" s="16">
        <v>1.25</v>
      </c>
      <c r="C409" s="16">
        <v>1.75</v>
      </c>
      <c r="D409" s="16">
        <v>200</v>
      </c>
      <c r="E409" s="16">
        <v>0</v>
      </c>
      <c r="F409" s="16">
        <v>0</v>
      </c>
    </row>
    <row r="410" spans="1:6" x14ac:dyDescent="0.2">
      <c r="A410" s="16">
        <v>26.17</v>
      </c>
      <c r="B410" s="16">
        <v>0.83499999999999996</v>
      </c>
      <c r="C410" s="16">
        <v>1.165</v>
      </c>
      <c r="D410" s="16">
        <v>100</v>
      </c>
      <c r="E410" s="16">
        <v>0</v>
      </c>
      <c r="F410" s="16">
        <v>0</v>
      </c>
    </row>
    <row r="411" spans="1:6" x14ac:dyDescent="0.2">
      <c r="A411" s="16">
        <v>33.67</v>
      </c>
      <c r="B411" s="16">
        <v>2.165</v>
      </c>
      <c r="C411" s="16">
        <v>1.5</v>
      </c>
      <c r="D411" s="16">
        <v>120</v>
      </c>
      <c r="E411" s="16">
        <v>0</v>
      </c>
      <c r="F411" s="16">
        <v>0</v>
      </c>
    </row>
    <row r="412" spans="1:6" x14ac:dyDescent="0.2">
      <c r="A412" s="16">
        <v>24.58</v>
      </c>
      <c r="B412" s="16">
        <v>1.25</v>
      </c>
      <c r="C412" s="16">
        <v>0.25</v>
      </c>
      <c r="D412" s="16">
        <v>110</v>
      </c>
      <c r="E412" s="16">
        <v>0</v>
      </c>
      <c r="F412" s="16">
        <v>0</v>
      </c>
    </row>
    <row r="413" spans="1:6" x14ac:dyDescent="0.2">
      <c r="A413" s="16">
        <v>27.67</v>
      </c>
      <c r="B413" s="16">
        <v>2.04</v>
      </c>
      <c r="C413" s="16">
        <v>0.25</v>
      </c>
      <c r="D413" s="16">
        <v>180</v>
      </c>
      <c r="E413" s="16">
        <v>50</v>
      </c>
      <c r="F413" s="16">
        <v>0</v>
      </c>
    </row>
    <row r="414" spans="1:6" x14ac:dyDescent="0.2">
      <c r="A414" s="16">
        <v>37.5</v>
      </c>
      <c r="B414" s="16">
        <v>0.83499999999999996</v>
      </c>
      <c r="C414" s="16">
        <v>0.04</v>
      </c>
      <c r="D414" s="16">
        <v>120</v>
      </c>
      <c r="E414" s="16">
        <v>5</v>
      </c>
      <c r="F414" s="16">
        <v>0</v>
      </c>
    </row>
    <row r="415" spans="1:6" x14ac:dyDescent="0.2">
      <c r="A415" s="16">
        <v>49.17</v>
      </c>
      <c r="B415" s="16">
        <v>2.29</v>
      </c>
      <c r="C415" s="16">
        <v>0.28999999999999998</v>
      </c>
      <c r="D415" s="16">
        <v>200</v>
      </c>
      <c r="E415" s="16">
        <v>3</v>
      </c>
      <c r="F415" s="16">
        <v>0</v>
      </c>
    </row>
    <row r="416" spans="1:6" x14ac:dyDescent="0.2">
      <c r="A416" s="16">
        <v>33.58</v>
      </c>
      <c r="B416" s="16">
        <v>0.33500000000000002</v>
      </c>
      <c r="C416" s="16">
        <v>8.5000000000000006E-2</v>
      </c>
      <c r="D416" s="16">
        <v>180</v>
      </c>
      <c r="E416" s="16">
        <v>0</v>
      </c>
      <c r="F416" s="16">
        <v>0</v>
      </c>
    </row>
    <row r="417" spans="1:6" x14ac:dyDescent="0.2">
      <c r="A417" s="16">
        <v>51.83</v>
      </c>
      <c r="B417" s="16">
        <v>3</v>
      </c>
      <c r="C417" s="16">
        <v>1.5</v>
      </c>
      <c r="D417" s="16">
        <v>180</v>
      </c>
      <c r="E417" s="16">
        <v>4</v>
      </c>
      <c r="F417" s="16">
        <v>0</v>
      </c>
    </row>
    <row r="418" spans="1:6" x14ac:dyDescent="0.2">
      <c r="A418" s="16">
        <v>22.92</v>
      </c>
      <c r="B418" s="16">
        <v>3.165</v>
      </c>
      <c r="C418" s="16">
        <v>0.16500000000000001</v>
      </c>
      <c r="D418" s="16">
        <v>160</v>
      </c>
      <c r="E418" s="16">
        <v>1058</v>
      </c>
      <c r="F418" s="16">
        <v>0</v>
      </c>
    </row>
    <row r="419" spans="1:6" x14ac:dyDescent="0.2">
      <c r="A419" s="16">
        <v>21.83</v>
      </c>
      <c r="B419" s="16">
        <v>1.54</v>
      </c>
      <c r="C419" s="16">
        <v>8.5000000000000006E-2</v>
      </c>
      <c r="D419" s="16">
        <v>356</v>
      </c>
      <c r="E419" s="16">
        <v>0</v>
      </c>
      <c r="F419" s="16">
        <v>0</v>
      </c>
    </row>
    <row r="420" spans="1:6" x14ac:dyDescent="0.2">
      <c r="A420" s="16">
        <v>25.25</v>
      </c>
      <c r="B420" s="16">
        <v>1</v>
      </c>
      <c r="C420" s="16">
        <v>0.5</v>
      </c>
      <c r="D420" s="16">
        <v>200</v>
      </c>
      <c r="E420" s="16">
        <v>0</v>
      </c>
      <c r="F420" s="16">
        <v>0</v>
      </c>
    </row>
    <row r="421" spans="1:6" x14ac:dyDescent="0.2">
      <c r="A421" s="16">
        <v>58.58</v>
      </c>
      <c r="B421" s="16">
        <v>2.71</v>
      </c>
      <c r="C421" s="16">
        <v>2.415</v>
      </c>
      <c r="D421" s="16">
        <v>320</v>
      </c>
      <c r="E421" s="16">
        <v>0</v>
      </c>
      <c r="F421" s="16">
        <v>0</v>
      </c>
    </row>
    <row r="422" spans="1:6" x14ac:dyDescent="0.2">
      <c r="A422" s="16">
        <v>19</v>
      </c>
      <c r="B422" s="16">
        <v>0</v>
      </c>
      <c r="C422" s="16">
        <v>0</v>
      </c>
      <c r="D422" s="16">
        <v>45</v>
      </c>
      <c r="E422" s="16">
        <v>1</v>
      </c>
      <c r="F422" s="16">
        <v>0</v>
      </c>
    </row>
    <row r="423" spans="1:6" x14ac:dyDescent="0.2">
      <c r="A423" s="16">
        <v>19.579999999999998</v>
      </c>
      <c r="B423" s="16">
        <v>0.58499999999999996</v>
      </c>
      <c r="C423" s="16">
        <v>0</v>
      </c>
      <c r="D423" s="16">
        <v>350</v>
      </c>
      <c r="E423" s="16">
        <v>769</v>
      </c>
      <c r="F423" s="16">
        <v>0</v>
      </c>
    </row>
    <row r="424" spans="1:6" x14ac:dyDescent="0.2">
      <c r="A424" s="16">
        <v>53.33</v>
      </c>
      <c r="B424" s="16">
        <v>0.16500000000000001</v>
      </c>
      <c r="C424" s="16">
        <v>0</v>
      </c>
      <c r="D424" s="16">
        <v>62</v>
      </c>
      <c r="E424" s="16">
        <v>27</v>
      </c>
      <c r="F424" s="16">
        <v>0</v>
      </c>
    </row>
    <row r="425" spans="1:6" x14ac:dyDescent="0.2">
      <c r="A425" s="16">
        <v>27.17</v>
      </c>
      <c r="B425" s="16">
        <v>1.25</v>
      </c>
      <c r="C425" s="16">
        <v>0</v>
      </c>
      <c r="D425" s="16">
        <v>92</v>
      </c>
      <c r="E425" s="16">
        <v>300</v>
      </c>
      <c r="F425" s="16">
        <v>0</v>
      </c>
    </row>
    <row r="426" spans="1:6" x14ac:dyDescent="0.2">
      <c r="A426" s="16">
        <v>25.92</v>
      </c>
      <c r="B426" s="16">
        <v>0.875</v>
      </c>
      <c r="C426" s="16">
        <v>0.375</v>
      </c>
      <c r="D426" s="16">
        <v>174</v>
      </c>
      <c r="E426" s="16">
        <v>3</v>
      </c>
      <c r="F426" s="16">
        <v>0</v>
      </c>
    </row>
    <row r="427" spans="1:6" x14ac:dyDescent="0.2">
      <c r="A427" s="16">
        <v>23.08</v>
      </c>
      <c r="B427" s="16">
        <v>0</v>
      </c>
      <c r="C427" s="16">
        <v>1</v>
      </c>
      <c r="D427" s="16">
        <v>0</v>
      </c>
      <c r="E427" s="16">
        <v>0</v>
      </c>
      <c r="F427" s="16">
        <v>0</v>
      </c>
    </row>
    <row r="428" spans="1:6" x14ac:dyDescent="0.2">
      <c r="A428" s="16">
        <v>39.58</v>
      </c>
      <c r="B428" s="16">
        <v>5</v>
      </c>
      <c r="C428" s="16">
        <v>0</v>
      </c>
      <c r="D428" s="16">
        <v>17</v>
      </c>
      <c r="E428" s="16">
        <v>1</v>
      </c>
      <c r="F428" s="16">
        <v>0</v>
      </c>
    </row>
    <row r="429" spans="1:6" x14ac:dyDescent="0.2">
      <c r="A429" s="16">
        <v>30.58</v>
      </c>
      <c r="B429" s="16">
        <v>2.71</v>
      </c>
      <c r="C429" s="16">
        <v>0.125</v>
      </c>
      <c r="D429" s="16">
        <v>80</v>
      </c>
      <c r="E429" s="16">
        <v>0</v>
      </c>
      <c r="F429" s="16">
        <v>0</v>
      </c>
    </row>
    <row r="430" spans="1:6" x14ac:dyDescent="0.2">
      <c r="A430" s="16">
        <v>17.25</v>
      </c>
      <c r="B430" s="16">
        <v>3</v>
      </c>
      <c r="C430" s="16">
        <v>0.04</v>
      </c>
      <c r="D430" s="16">
        <v>160</v>
      </c>
      <c r="E430" s="16">
        <v>40</v>
      </c>
      <c r="F430" s="16">
        <v>0</v>
      </c>
    </row>
    <row r="431" spans="1:6" x14ac:dyDescent="0.2">
      <c r="A431" s="16">
        <v>17.670000000000002</v>
      </c>
      <c r="B431" s="16">
        <v>0</v>
      </c>
      <c r="C431" s="16">
        <v>0</v>
      </c>
      <c r="D431" s="16">
        <v>86</v>
      </c>
      <c r="E431" s="16">
        <v>0</v>
      </c>
      <c r="F431" s="16">
        <v>0</v>
      </c>
    </row>
    <row r="432" spans="1:6" x14ac:dyDescent="0.2">
      <c r="A432" s="16">
        <v>16.5</v>
      </c>
      <c r="B432" s="16">
        <v>0.125</v>
      </c>
      <c r="C432" s="16">
        <v>0.16500000000000001</v>
      </c>
      <c r="D432" s="16">
        <v>132</v>
      </c>
      <c r="E432" s="16">
        <v>0</v>
      </c>
      <c r="F432" s="16">
        <v>0</v>
      </c>
    </row>
    <row r="433" spans="1:6" x14ac:dyDescent="0.2">
      <c r="A433" s="16">
        <v>27.33</v>
      </c>
      <c r="B433" s="16">
        <v>1.665</v>
      </c>
      <c r="C433" s="16">
        <v>0</v>
      </c>
      <c r="D433" s="16">
        <v>340</v>
      </c>
      <c r="E433" s="16">
        <v>1</v>
      </c>
      <c r="F433" s="16">
        <v>0</v>
      </c>
    </row>
    <row r="434" spans="1:6" x14ac:dyDescent="0.2">
      <c r="A434" s="16">
        <v>31.25</v>
      </c>
      <c r="B434" s="16">
        <v>1.125</v>
      </c>
      <c r="C434" s="16">
        <v>0</v>
      </c>
      <c r="D434" s="16">
        <v>96</v>
      </c>
      <c r="E434" s="16">
        <v>19</v>
      </c>
      <c r="F434" s="16">
        <v>0</v>
      </c>
    </row>
    <row r="435" spans="1:6" x14ac:dyDescent="0.2">
      <c r="A435" s="16">
        <v>20</v>
      </c>
      <c r="B435" s="16">
        <v>7</v>
      </c>
      <c r="C435" s="16">
        <v>0.5</v>
      </c>
      <c r="D435" s="16">
        <v>0</v>
      </c>
      <c r="E435" s="16">
        <v>0</v>
      </c>
      <c r="F435" s="16">
        <v>0</v>
      </c>
    </row>
    <row r="436" spans="1:6" x14ac:dyDescent="0.2">
      <c r="A436" s="16">
        <v>39.5</v>
      </c>
      <c r="B436" s="16">
        <v>1.625</v>
      </c>
      <c r="C436" s="16">
        <v>1.5</v>
      </c>
      <c r="D436" s="16">
        <v>0</v>
      </c>
      <c r="E436" s="16">
        <v>316</v>
      </c>
      <c r="F436" s="16">
        <v>0</v>
      </c>
    </row>
    <row r="437" spans="1:6" x14ac:dyDescent="0.2">
      <c r="A437" s="16">
        <v>36.5</v>
      </c>
      <c r="B437" s="16">
        <v>4.25</v>
      </c>
      <c r="C437" s="16">
        <v>3.5</v>
      </c>
      <c r="D437" s="16">
        <v>454</v>
      </c>
      <c r="E437" s="16">
        <v>50</v>
      </c>
      <c r="F437" s="16">
        <v>0</v>
      </c>
    </row>
    <row r="438" spans="1:6" x14ac:dyDescent="0.2">
      <c r="A438" s="16">
        <v>29.75</v>
      </c>
      <c r="B438" s="16">
        <v>0.66500000000000004</v>
      </c>
      <c r="C438" s="16">
        <v>0.25</v>
      </c>
      <c r="D438" s="16">
        <v>300</v>
      </c>
      <c r="E438" s="16">
        <v>0</v>
      </c>
      <c r="F438" s="16">
        <v>0</v>
      </c>
    </row>
    <row r="439" spans="1:6" x14ac:dyDescent="0.2">
      <c r="A439" s="16">
        <v>52.42</v>
      </c>
      <c r="B439" s="16">
        <v>1.5</v>
      </c>
      <c r="C439" s="16">
        <v>3.75</v>
      </c>
      <c r="D439" s="16">
        <v>0</v>
      </c>
      <c r="E439" s="16">
        <v>350</v>
      </c>
      <c r="F439" s="16">
        <v>0</v>
      </c>
    </row>
    <row r="440" spans="1:6" x14ac:dyDescent="0.2">
      <c r="A440" s="16">
        <v>36.17</v>
      </c>
      <c r="B440" s="16">
        <v>18.125</v>
      </c>
      <c r="C440" s="16">
        <v>8.5000000000000006E-2</v>
      </c>
      <c r="D440" s="16">
        <v>320</v>
      </c>
      <c r="E440" s="16">
        <v>3552</v>
      </c>
      <c r="F440" s="16">
        <v>0</v>
      </c>
    </row>
    <row r="441" spans="1:6" x14ac:dyDescent="0.2">
      <c r="A441" s="16">
        <v>29.67</v>
      </c>
      <c r="B441" s="16">
        <v>0.75</v>
      </c>
      <c r="C441" s="16">
        <v>0.04</v>
      </c>
      <c r="D441" s="16">
        <v>240</v>
      </c>
      <c r="E441" s="16">
        <v>0</v>
      </c>
      <c r="F441" s="16">
        <v>0</v>
      </c>
    </row>
    <row r="442" spans="1:6" x14ac:dyDescent="0.2">
      <c r="A442" s="16">
        <v>36.17</v>
      </c>
      <c r="B442" s="16">
        <v>5.5</v>
      </c>
      <c r="C442" s="16">
        <v>5</v>
      </c>
      <c r="D442" s="16">
        <v>210</v>
      </c>
      <c r="E442" s="16">
        <v>687</v>
      </c>
      <c r="F442" s="16">
        <v>0</v>
      </c>
    </row>
    <row r="443" spans="1:6" x14ac:dyDescent="0.2">
      <c r="A443" s="16">
        <v>25.67</v>
      </c>
      <c r="B443" s="16">
        <v>0.28999999999999998</v>
      </c>
      <c r="C443" s="16">
        <v>1.5</v>
      </c>
      <c r="D443" s="16">
        <v>160</v>
      </c>
      <c r="E443" s="16">
        <v>0</v>
      </c>
      <c r="F443" s="16">
        <v>0</v>
      </c>
    </row>
    <row r="444" spans="1:6" x14ac:dyDescent="0.2">
      <c r="A444" s="16">
        <v>24.5</v>
      </c>
      <c r="B444" s="16">
        <v>2.415</v>
      </c>
      <c r="C444" s="16">
        <v>0</v>
      </c>
      <c r="D444" s="16">
        <v>120</v>
      </c>
      <c r="E444" s="16">
        <v>0</v>
      </c>
      <c r="F444" s="16">
        <v>0</v>
      </c>
    </row>
    <row r="445" spans="1:6" x14ac:dyDescent="0.2">
      <c r="A445" s="16">
        <v>24.08</v>
      </c>
      <c r="B445" s="16">
        <v>0.875</v>
      </c>
      <c r="C445" s="16">
        <v>8.5000000000000006E-2</v>
      </c>
      <c r="D445" s="16">
        <v>254</v>
      </c>
      <c r="E445" s="16">
        <v>1950</v>
      </c>
      <c r="F445" s="16">
        <v>0</v>
      </c>
    </row>
    <row r="446" spans="1:6" x14ac:dyDescent="0.2">
      <c r="A446" s="16">
        <v>21.92</v>
      </c>
      <c r="B446" s="16">
        <v>0.5</v>
      </c>
      <c r="C446" s="16">
        <v>0.125</v>
      </c>
      <c r="D446" s="16">
        <v>360</v>
      </c>
      <c r="E446" s="16">
        <v>0</v>
      </c>
      <c r="F446" s="16">
        <v>0</v>
      </c>
    </row>
    <row r="447" spans="1:6" x14ac:dyDescent="0.2">
      <c r="A447" s="16">
        <v>36.58</v>
      </c>
      <c r="B447" s="16">
        <v>0.28999999999999998</v>
      </c>
      <c r="C447" s="16">
        <v>0</v>
      </c>
      <c r="D447" s="16">
        <v>200</v>
      </c>
      <c r="E447" s="16">
        <v>18</v>
      </c>
      <c r="F447" s="16">
        <v>0</v>
      </c>
    </row>
    <row r="448" spans="1:6" x14ac:dyDescent="0.2">
      <c r="A448" s="16">
        <v>23</v>
      </c>
      <c r="B448" s="16">
        <v>1.835</v>
      </c>
      <c r="C448" s="16">
        <v>0</v>
      </c>
      <c r="D448" s="16">
        <v>200</v>
      </c>
      <c r="E448" s="16">
        <v>53</v>
      </c>
      <c r="F448" s="16">
        <v>0</v>
      </c>
    </row>
    <row r="449" spans="1:6" x14ac:dyDescent="0.2">
      <c r="A449" s="16">
        <v>27.58</v>
      </c>
      <c r="B449" s="16">
        <v>3</v>
      </c>
      <c r="C449" s="16">
        <v>2.79</v>
      </c>
      <c r="D449" s="16">
        <v>280</v>
      </c>
      <c r="E449" s="16">
        <v>10</v>
      </c>
      <c r="F449" s="16">
        <v>0</v>
      </c>
    </row>
    <row r="450" spans="1:6" x14ac:dyDescent="0.2">
      <c r="A450" s="16">
        <v>31.08</v>
      </c>
      <c r="B450" s="16">
        <v>3.085</v>
      </c>
      <c r="C450" s="16">
        <v>2.5</v>
      </c>
      <c r="D450" s="16">
        <v>160</v>
      </c>
      <c r="E450" s="16">
        <v>41</v>
      </c>
      <c r="F450" s="16">
        <v>0</v>
      </c>
    </row>
    <row r="451" spans="1:6" x14ac:dyDescent="0.2">
      <c r="A451" s="16">
        <v>30.42</v>
      </c>
      <c r="B451" s="16">
        <v>1.375</v>
      </c>
      <c r="C451" s="16">
        <v>0.04</v>
      </c>
      <c r="D451" s="16">
        <v>0</v>
      </c>
      <c r="E451" s="16">
        <v>33</v>
      </c>
      <c r="F451" s="16">
        <v>0</v>
      </c>
    </row>
    <row r="452" spans="1:6" x14ac:dyDescent="0.2">
      <c r="A452" s="16">
        <v>22.08</v>
      </c>
      <c r="B452" s="16">
        <v>2.335</v>
      </c>
      <c r="C452" s="16">
        <v>0.75</v>
      </c>
      <c r="D452" s="16">
        <v>180</v>
      </c>
      <c r="E452" s="16">
        <v>0</v>
      </c>
      <c r="F452" s="16">
        <v>0</v>
      </c>
    </row>
    <row r="453" spans="1:6" x14ac:dyDescent="0.2">
      <c r="A453" s="16">
        <v>16.329999999999998</v>
      </c>
      <c r="B453" s="16">
        <v>4.085</v>
      </c>
      <c r="C453" s="16">
        <v>0.41499999999999998</v>
      </c>
      <c r="D453" s="16">
        <v>120</v>
      </c>
      <c r="E453" s="16">
        <v>0</v>
      </c>
      <c r="F453" s="16">
        <v>0</v>
      </c>
    </row>
    <row r="454" spans="1:6" x14ac:dyDescent="0.2">
      <c r="A454" s="16">
        <v>21.92</v>
      </c>
      <c r="B454" s="16">
        <v>11.664999999999999</v>
      </c>
      <c r="C454" s="16">
        <v>8.5000000000000006E-2</v>
      </c>
      <c r="D454" s="16">
        <v>320</v>
      </c>
      <c r="E454" s="16">
        <v>5</v>
      </c>
      <c r="F454" s="16">
        <v>0</v>
      </c>
    </row>
    <row r="455" spans="1:6" x14ac:dyDescent="0.2">
      <c r="A455" s="16">
        <v>21.08</v>
      </c>
      <c r="B455" s="16">
        <v>4.125</v>
      </c>
      <c r="C455" s="16">
        <v>0.04</v>
      </c>
      <c r="D455" s="16">
        <v>140</v>
      </c>
      <c r="E455" s="16">
        <v>100</v>
      </c>
      <c r="F455" s="16">
        <v>0</v>
      </c>
    </row>
    <row r="456" spans="1:6" x14ac:dyDescent="0.2">
      <c r="A456" s="16">
        <v>17.420000000000002</v>
      </c>
      <c r="B456" s="16">
        <v>6.5</v>
      </c>
      <c r="C456" s="16">
        <v>0.125</v>
      </c>
      <c r="D456" s="16">
        <v>60</v>
      </c>
      <c r="E456" s="16">
        <v>100</v>
      </c>
      <c r="F456" s="16">
        <v>0</v>
      </c>
    </row>
    <row r="457" spans="1:6" x14ac:dyDescent="0.2">
      <c r="A457" s="16">
        <v>19.170000000000002</v>
      </c>
      <c r="B457" s="16">
        <v>4</v>
      </c>
      <c r="C457" s="16">
        <v>1</v>
      </c>
      <c r="D457" s="16">
        <v>360</v>
      </c>
      <c r="E457" s="16">
        <v>1000</v>
      </c>
      <c r="F457" s="16">
        <v>0</v>
      </c>
    </row>
    <row r="458" spans="1:6" x14ac:dyDescent="0.2">
      <c r="A458" s="16">
        <v>20.67</v>
      </c>
      <c r="B458" s="16">
        <v>0.41499999999999998</v>
      </c>
      <c r="C458" s="16">
        <v>0.125</v>
      </c>
      <c r="D458" s="16">
        <v>0</v>
      </c>
      <c r="E458" s="16">
        <v>44</v>
      </c>
      <c r="F458" s="16">
        <v>0</v>
      </c>
    </row>
    <row r="459" spans="1:6" x14ac:dyDescent="0.2">
      <c r="A459" s="16">
        <v>26.75</v>
      </c>
      <c r="B459" s="16">
        <v>2</v>
      </c>
      <c r="C459" s="16">
        <v>0.75</v>
      </c>
      <c r="D459" s="16">
        <v>80</v>
      </c>
      <c r="E459" s="16">
        <v>0</v>
      </c>
      <c r="F459" s="16">
        <v>0</v>
      </c>
    </row>
    <row r="460" spans="1:6" x14ac:dyDescent="0.2">
      <c r="A460" s="16">
        <v>23.58</v>
      </c>
      <c r="B460" s="16">
        <v>0.83499999999999996</v>
      </c>
      <c r="C460" s="16">
        <v>8.5000000000000006E-2</v>
      </c>
      <c r="D460" s="16">
        <v>220</v>
      </c>
      <c r="E460" s="16">
        <v>5</v>
      </c>
      <c r="F460" s="16">
        <v>0</v>
      </c>
    </row>
    <row r="461" spans="1:6" x14ac:dyDescent="0.2">
      <c r="A461" s="16">
        <v>39.17</v>
      </c>
      <c r="B461" s="16">
        <v>2.5</v>
      </c>
      <c r="C461" s="16">
        <v>10</v>
      </c>
      <c r="D461" s="16">
        <v>200</v>
      </c>
      <c r="E461" s="16">
        <v>0</v>
      </c>
      <c r="F461" s="16">
        <v>0</v>
      </c>
    </row>
    <row r="462" spans="1:6" x14ac:dyDescent="0.2">
      <c r="A462" s="16">
        <v>22.75</v>
      </c>
      <c r="B462" s="16">
        <v>11.5</v>
      </c>
      <c r="C462" s="16">
        <v>0.41499999999999998</v>
      </c>
      <c r="D462" s="16">
        <v>0</v>
      </c>
      <c r="E462" s="16">
        <v>0</v>
      </c>
      <c r="F462" s="16">
        <v>0</v>
      </c>
    </row>
    <row r="463" spans="1:6" x14ac:dyDescent="0.2">
      <c r="A463" s="16">
        <v>26.5</v>
      </c>
      <c r="B463" s="16">
        <v>2.71</v>
      </c>
      <c r="C463" s="16">
        <v>8.5000000000000006E-2</v>
      </c>
      <c r="D463" s="16">
        <v>80</v>
      </c>
      <c r="E463" s="16">
        <v>0</v>
      </c>
      <c r="F463" s="16">
        <v>0</v>
      </c>
    </row>
    <row r="464" spans="1:6" x14ac:dyDescent="0.2">
      <c r="A464" s="16">
        <v>16.920000000000002</v>
      </c>
      <c r="B464" s="16">
        <v>0.5</v>
      </c>
      <c r="C464" s="16">
        <v>0.16500000000000001</v>
      </c>
      <c r="D464" s="16">
        <v>240</v>
      </c>
      <c r="E464" s="16">
        <v>35</v>
      </c>
      <c r="F464" s="16">
        <v>0</v>
      </c>
    </row>
    <row r="465" spans="1:6" x14ac:dyDescent="0.2">
      <c r="A465" s="16">
        <v>23.5</v>
      </c>
      <c r="B465" s="16">
        <v>3.165</v>
      </c>
      <c r="C465" s="16">
        <v>0.41499999999999998</v>
      </c>
      <c r="D465" s="16">
        <v>280</v>
      </c>
      <c r="E465" s="16">
        <v>80</v>
      </c>
      <c r="F465" s="16">
        <v>0</v>
      </c>
    </row>
    <row r="466" spans="1:6" x14ac:dyDescent="0.2">
      <c r="A466" s="16">
        <v>17.329999999999998</v>
      </c>
      <c r="B466" s="16">
        <v>9.5</v>
      </c>
      <c r="C466" s="16">
        <v>1.75</v>
      </c>
      <c r="D466" s="16">
        <v>0</v>
      </c>
      <c r="E466" s="16">
        <v>10</v>
      </c>
      <c r="F466" s="16">
        <v>0</v>
      </c>
    </row>
    <row r="467" spans="1:6" x14ac:dyDescent="0.2">
      <c r="A467" s="16">
        <v>23.75</v>
      </c>
      <c r="B467" s="16">
        <v>0.41499999999999998</v>
      </c>
      <c r="C467" s="16">
        <v>0.04</v>
      </c>
      <c r="D467" s="16">
        <v>128</v>
      </c>
      <c r="E467" s="16">
        <v>6</v>
      </c>
      <c r="F467" s="16">
        <v>0</v>
      </c>
    </row>
    <row r="468" spans="1:6" x14ac:dyDescent="0.2">
      <c r="A468" s="16">
        <v>34.67</v>
      </c>
      <c r="B468" s="16">
        <v>1.08</v>
      </c>
      <c r="C468" s="16">
        <v>1.165</v>
      </c>
      <c r="D468" s="16">
        <v>28</v>
      </c>
      <c r="E468" s="16">
        <v>0</v>
      </c>
      <c r="F468" s="16">
        <v>0</v>
      </c>
    </row>
    <row r="469" spans="1:6" x14ac:dyDescent="0.2">
      <c r="A469" s="16">
        <v>74.83</v>
      </c>
      <c r="B469" s="16">
        <v>19</v>
      </c>
      <c r="C469" s="16">
        <v>0.04</v>
      </c>
      <c r="D469" s="16">
        <v>0</v>
      </c>
      <c r="E469" s="16">
        <v>351</v>
      </c>
      <c r="F469" s="16">
        <v>0</v>
      </c>
    </row>
    <row r="470" spans="1:6" x14ac:dyDescent="0.2">
      <c r="A470" s="16">
        <v>28.17</v>
      </c>
      <c r="B470" s="16">
        <v>0.125</v>
      </c>
      <c r="C470" s="16">
        <v>8.5000000000000006E-2</v>
      </c>
      <c r="D470" s="16">
        <v>216</v>
      </c>
      <c r="E470" s="16">
        <v>2100</v>
      </c>
      <c r="F470" s="16">
        <v>0</v>
      </c>
    </row>
    <row r="471" spans="1:6" x14ac:dyDescent="0.2">
      <c r="A471" s="16">
        <v>24.5</v>
      </c>
      <c r="B471" s="16">
        <v>13.335000000000001</v>
      </c>
      <c r="C471" s="16">
        <v>0.04</v>
      </c>
      <c r="D471" s="16">
        <v>120</v>
      </c>
      <c r="E471" s="16">
        <v>475</v>
      </c>
      <c r="F471" s="16">
        <v>0</v>
      </c>
    </row>
    <row r="472" spans="1:6" x14ac:dyDescent="0.2">
      <c r="A472" s="16">
        <v>18.829999999999998</v>
      </c>
      <c r="B472" s="16">
        <v>3.54</v>
      </c>
      <c r="C472" s="16">
        <v>0</v>
      </c>
      <c r="D472" s="16">
        <v>180</v>
      </c>
      <c r="E472" s="16">
        <v>1</v>
      </c>
      <c r="F472" s="16">
        <v>0</v>
      </c>
    </row>
    <row r="473" spans="1:6" x14ac:dyDescent="0.2">
      <c r="A473" s="16">
        <v>45.33</v>
      </c>
      <c r="B473" s="16">
        <v>1</v>
      </c>
      <c r="C473" s="16">
        <v>0.125</v>
      </c>
      <c r="D473" s="16">
        <v>263</v>
      </c>
      <c r="E473" s="16">
        <v>0</v>
      </c>
      <c r="F473" s="16">
        <v>0</v>
      </c>
    </row>
    <row r="474" spans="1:6" x14ac:dyDescent="0.2">
      <c r="A474" s="16">
        <v>47.25</v>
      </c>
      <c r="B474" s="16">
        <v>0.75</v>
      </c>
      <c r="C474" s="16">
        <v>2.75</v>
      </c>
      <c r="D474" s="16">
        <v>333</v>
      </c>
      <c r="E474" s="16">
        <v>892</v>
      </c>
      <c r="F474" s="16">
        <v>1</v>
      </c>
    </row>
    <row r="475" spans="1:6" x14ac:dyDescent="0.2">
      <c r="A475" s="16">
        <v>24.17</v>
      </c>
      <c r="B475" s="16">
        <v>0.875</v>
      </c>
      <c r="C475" s="16">
        <v>4.625</v>
      </c>
      <c r="D475" s="16">
        <v>520</v>
      </c>
      <c r="E475" s="16">
        <v>2000</v>
      </c>
      <c r="F475" s="16">
        <v>1</v>
      </c>
    </row>
    <row r="476" spans="1:6" x14ac:dyDescent="0.2">
      <c r="A476" s="16">
        <v>39.25</v>
      </c>
      <c r="B476" s="16">
        <v>9.5</v>
      </c>
      <c r="C476" s="16">
        <v>6.5</v>
      </c>
      <c r="D476" s="16">
        <v>240</v>
      </c>
      <c r="E476" s="16">
        <v>4607</v>
      </c>
      <c r="F476" s="16">
        <v>1</v>
      </c>
    </row>
    <row r="477" spans="1:6" x14ac:dyDescent="0.2">
      <c r="A477" s="16">
        <v>20.5</v>
      </c>
      <c r="B477" s="16">
        <v>11.835000000000001</v>
      </c>
      <c r="C477" s="16">
        <v>6</v>
      </c>
      <c r="D477" s="16">
        <v>340</v>
      </c>
      <c r="E477" s="16">
        <v>0</v>
      </c>
      <c r="F477" s="16">
        <v>1</v>
      </c>
    </row>
    <row r="478" spans="1:6" x14ac:dyDescent="0.2">
      <c r="A478" s="16">
        <v>18.829999999999998</v>
      </c>
      <c r="B478" s="16">
        <v>4.415</v>
      </c>
      <c r="C478" s="16">
        <v>3</v>
      </c>
      <c r="D478" s="16">
        <v>240</v>
      </c>
      <c r="E478" s="16">
        <v>0</v>
      </c>
      <c r="F478" s="16">
        <v>1</v>
      </c>
    </row>
    <row r="479" spans="1:6" x14ac:dyDescent="0.2">
      <c r="A479" s="16">
        <v>19.170000000000002</v>
      </c>
      <c r="B479" s="16">
        <v>9.5</v>
      </c>
      <c r="C479" s="16">
        <v>1.5</v>
      </c>
      <c r="D479" s="16">
        <v>120</v>
      </c>
      <c r="E479" s="16">
        <v>2206</v>
      </c>
      <c r="F479" s="16">
        <v>1</v>
      </c>
    </row>
    <row r="480" spans="1:6" x14ac:dyDescent="0.2">
      <c r="A480" s="16">
        <v>25</v>
      </c>
      <c r="B480" s="16">
        <v>0.875</v>
      </c>
      <c r="C480" s="16">
        <v>1.04</v>
      </c>
      <c r="D480" s="16">
        <v>160</v>
      </c>
      <c r="E480" s="16">
        <v>5860</v>
      </c>
      <c r="F480" s="16">
        <v>1</v>
      </c>
    </row>
    <row r="481" spans="1:6" x14ac:dyDescent="0.2">
      <c r="A481" s="16">
        <v>20.170000000000002</v>
      </c>
      <c r="B481" s="16">
        <v>9.25</v>
      </c>
      <c r="C481" s="16">
        <v>1.665</v>
      </c>
      <c r="D481" s="16">
        <v>40</v>
      </c>
      <c r="E481" s="16">
        <v>28</v>
      </c>
      <c r="F481" s="16">
        <v>1</v>
      </c>
    </row>
    <row r="482" spans="1:6" x14ac:dyDescent="0.2">
      <c r="A482" s="16">
        <v>25.75</v>
      </c>
      <c r="B482" s="16">
        <v>0.5</v>
      </c>
      <c r="C482" s="16">
        <v>1.46</v>
      </c>
      <c r="D482" s="16">
        <v>312</v>
      </c>
      <c r="E482" s="16">
        <v>0</v>
      </c>
      <c r="F482" s="16">
        <v>1</v>
      </c>
    </row>
    <row r="483" spans="1:6" x14ac:dyDescent="0.2">
      <c r="A483" s="16">
        <v>20.420000000000002</v>
      </c>
      <c r="B483" s="16">
        <v>7</v>
      </c>
      <c r="C483" s="16">
        <v>1.625</v>
      </c>
      <c r="D483" s="16">
        <v>200</v>
      </c>
      <c r="E483" s="16">
        <v>1391</v>
      </c>
      <c r="F483" s="16">
        <v>1</v>
      </c>
    </row>
    <row r="484" spans="1:6" x14ac:dyDescent="0.2">
      <c r="A484" s="16">
        <v>39</v>
      </c>
      <c r="B484" s="16">
        <v>5</v>
      </c>
      <c r="C484" s="16">
        <v>3.5</v>
      </c>
      <c r="D484" s="16">
        <v>0</v>
      </c>
      <c r="E484" s="16">
        <v>0</v>
      </c>
      <c r="F484" s="16">
        <v>1</v>
      </c>
    </row>
    <row r="485" spans="1:6" x14ac:dyDescent="0.2">
      <c r="A485" s="16">
        <v>64.08</v>
      </c>
      <c r="B485" s="16">
        <v>0.16500000000000001</v>
      </c>
      <c r="C485" s="16">
        <v>0</v>
      </c>
      <c r="D485" s="16">
        <v>232</v>
      </c>
      <c r="E485" s="16">
        <v>100</v>
      </c>
      <c r="F485" s="16">
        <v>1</v>
      </c>
    </row>
    <row r="486" spans="1:6" x14ac:dyDescent="0.2">
      <c r="A486" s="16">
        <v>28.25</v>
      </c>
      <c r="B486" s="16">
        <v>5.125</v>
      </c>
      <c r="C486" s="16">
        <v>4.75</v>
      </c>
      <c r="D486" s="16">
        <v>420</v>
      </c>
      <c r="E486" s="16">
        <v>7</v>
      </c>
      <c r="F486" s="16">
        <v>1</v>
      </c>
    </row>
    <row r="487" spans="1:6" x14ac:dyDescent="0.2">
      <c r="A487" s="16">
        <v>28.75</v>
      </c>
      <c r="B487" s="16">
        <v>3.75</v>
      </c>
      <c r="C487" s="16">
        <v>1.085</v>
      </c>
      <c r="D487" s="16">
        <v>371</v>
      </c>
      <c r="E487" s="16">
        <v>0</v>
      </c>
      <c r="F487" s="16">
        <v>1</v>
      </c>
    </row>
    <row r="488" spans="1:6" x14ac:dyDescent="0.2">
      <c r="A488" s="16">
        <v>31.33</v>
      </c>
      <c r="B488" s="16">
        <v>19.5</v>
      </c>
      <c r="C488" s="16">
        <v>7</v>
      </c>
      <c r="D488" s="16">
        <v>0</v>
      </c>
      <c r="E488" s="16">
        <v>5000</v>
      </c>
      <c r="F488" s="16">
        <v>1</v>
      </c>
    </row>
    <row r="489" spans="1:6" x14ac:dyDescent="0.2">
      <c r="A489" s="16">
        <v>18.920000000000002</v>
      </c>
      <c r="B489" s="16">
        <v>9</v>
      </c>
      <c r="C489" s="16">
        <v>0.75</v>
      </c>
      <c r="D489" s="16">
        <v>88</v>
      </c>
      <c r="E489" s="16">
        <v>591</v>
      </c>
      <c r="F489" s="16">
        <v>1</v>
      </c>
    </row>
    <row r="490" spans="1:6" x14ac:dyDescent="0.2">
      <c r="A490" s="16">
        <v>24.75</v>
      </c>
      <c r="B490" s="16">
        <v>3</v>
      </c>
      <c r="C490" s="16">
        <v>1.835</v>
      </c>
      <c r="D490" s="16">
        <v>0</v>
      </c>
      <c r="E490" s="16">
        <v>500</v>
      </c>
      <c r="F490" s="16">
        <v>1</v>
      </c>
    </row>
    <row r="491" spans="1:6" x14ac:dyDescent="0.2">
      <c r="A491" s="16">
        <v>30.67</v>
      </c>
      <c r="B491" s="16">
        <v>12</v>
      </c>
      <c r="C491" s="16">
        <v>2</v>
      </c>
      <c r="D491" s="16">
        <v>220</v>
      </c>
      <c r="E491" s="16">
        <v>19</v>
      </c>
      <c r="F491" s="16">
        <v>1</v>
      </c>
    </row>
    <row r="492" spans="1:6" x14ac:dyDescent="0.2">
      <c r="A492" s="16">
        <v>21</v>
      </c>
      <c r="B492" s="16">
        <v>4.79</v>
      </c>
      <c r="C492" s="16">
        <v>2.25</v>
      </c>
      <c r="D492" s="16">
        <v>80</v>
      </c>
      <c r="E492" s="16">
        <v>300</v>
      </c>
      <c r="F492" s="16">
        <v>1</v>
      </c>
    </row>
    <row r="493" spans="1:6" x14ac:dyDescent="0.2">
      <c r="A493" s="16">
        <v>13.75</v>
      </c>
      <c r="B493" s="16">
        <v>4</v>
      </c>
      <c r="C493" s="16">
        <v>1.75</v>
      </c>
      <c r="D493" s="16">
        <v>120</v>
      </c>
      <c r="E493" s="16">
        <v>1000</v>
      </c>
      <c r="F493" s="16">
        <v>1</v>
      </c>
    </row>
    <row r="494" spans="1:6" x14ac:dyDescent="0.2">
      <c r="A494" s="16">
        <v>46</v>
      </c>
      <c r="B494" s="16">
        <v>4</v>
      </c>
      <c r="C494" s="16">
        <v>0</v>
      </c>
      <c r="D494" s="16">
        <v>100</v>
      </c>
      <c r="E494" s="16">
        <v>960</v>
      </c>
      <c r="F494" s="16">
        <v>1</v>
      </c>
    </row>
    <row r="495" spans="1:6" x14ac:dyDescent="0.2">
      <c r="A495" s="16">
        <v>44.33</v>
      </c>
      <c r="B495" s="16">
        <v>0</v>
      </c>
      <c r="C495" s="16">
        <v>2.5</v>
      </c>
      <c r="D495" s="16">
        <v>0</v>
      </c>
      <c r="E495" s="16">
        <v>0</v>
      </c>
      <c r="F495" s="16">
        <v>1</v>
      </c>
    </row>
    <row r="496" spans="1:6" x14ac:dyDescent="0.2">
      <c r="A496" s="16">
        <v>20.25</v>
      </c>
      <c r="B496" s="16">
        <v>9.9600000000000009</v>
      </c>
      <c r="C496" s="16">
        <v>0</v>
      </c>
      <c r="D496" s="16">
        <v>0</v>
      </c>
      <c r="E496" s="16">
        <v>0</v>
      </c>
      <c r="F496" s="16">
        <v>1</v>
      </c>
    </row>
    <row r="497" spans="1:6" x14ac:dyDescent="0.2">
      <c r="A497" s="16">
        <v>22.67</v>
      </c>
      <c r="B497" s="16">
        <v>2.54</v>
      </c>
      <c r="C497" s="16">
        <v>2.585</v>
      </c>
      <c r="D497" s="16">
        <v>0</v>
      </c>
      <c r="E497" s="16">
        <v>0</v>
      </c>
      <c r="F497" s="16">
        <v>1</v>
      </c>
    </row>
    <row r="498" spans="1:6" x14ac:dyDescent="0.2">
      <c r="A498" s="16">
        <v>60.92</v>
      </c>
      <c r="B498" s="16">
        <v>5</v>
      </c>
      <c r="C498" s="16">
        <v>4</v>
      </c>
      <c r="D498" s="16">
        <v>0</v>
      </c>
      <c r="E498" s="16">
        <v>99</v>
      </c>
      <c r="F498" s="16">
        <v>1</v>
      </c>
    </row>
    <row r="499" spans="1:6" x14ac:dyDescent="0.2">
      <c r="A499" s="16">
        <v>16.079999999999998</v>
      </c>
      <c r="B499" s="16">
        <v>0.75</v>
      </c>
      <c r="C499" s="16">
        <v>1.75</v>
      </c>
      <c r="D499" s="16">
        <v>352</v>
      </c>
      <c r="E499" s="16">
        <v>690</v>
      </c>
      <c r="F499" s="16">
        <v>1</v>
      </c>
    </row>
    <row r="500" spans="1:6" x14ac:dyDescent="0.2">
      <c r="A500" s="16">
        <v>28.17</v>
      </c>
      <c r="B500" s="16">
        <v>0.375</v>
      </c>
      <c r="C500" s="16">
        <v>0.58499999999999996</v>
      </c>
      <c r="D500" s="16">
        <v>80</v>
      </c>
      <c r="E500" s="16">
        <v>0</v>
      </c>
      <c r="F500" s="16">
        <v>1</v>
      </c>
    </row>
    <row r="501" spans="1:6" x14ac:dyDescent="0.2">
      <c r="A501" s="16">
        <v>39.17</v>
      </c>
      <c r="B501" s="16">
        <v>1.71</v>
      </c>
      <c r="C501" s="16">
        <v>0.125</v>
      </c>
      <c r="D501" s="16">
        <v>480</v>
      </c>
      <c r="E501" s="16">
        <v>0</v>
      </c>
      <c r="F501" s="16">
        <v>1</v>
      </c>
    </row>
    <row r="502" spans="1:6" x14ac:dyDescent="0.2">
      <c r="A502" s="16">
        <v>20.420000000000002</v>
      </c>
      <c r="B502" s="16">
        <v>7.5</v>
      </c>
      <c r="C502" s="16">
        <v>1.5</v>
      </c>
      <c r="D502" s="16">
        <v>160</v>
      </c>
      <c r="E502" s="16">
        <v>234</v>
      </c>
      <c r="F502" s="16">
        <v>1</v>
      </c>
    </row>
    <row r="503" spans="1:6" x14ac:dyDescent="0.2">
      <c r="A503" s="16">
        <v>30</v>
      </c>
      <c r="B503" s="16">
        <v>5.29</v>
      </c>
      <c r="C503" s="16">
        <v>2.25</v>
      </c>
      <c r="D503" s="16">
        <v>99</v>
      </c>
      <c r="E503" s="16">
        <v>500</v>
      </c>
      <c r="F503" s="16">
        <v>1</v>
      </c>
    </row>
    <row r="504" spans="1:6" x14ac:dyDescent="0.2">
      <c r="A504" s="16">
        <v>22.83</v>
      </c>
      <c r="B504" s="16">
        <v>3</v>
      </c>
      <c r="C504" s="16">
        <v>1.29</v>
      </c>
      <c r="D504" s="16">
        <v>260</v>
      </c>
      <c r="E504" s="16">
        <v>800</v>
      </c>
      <c r="F504" s="16">
        <v>1</v>
      </c>
    </row>
    <row r="505" spans="1:6" x14ac:dyDescent="0.2">
      <c r="A505" s="16">
        <v>22.5</v>
      </c>
      <c r="B505" s="16">
        <v>8.5</v>
      </c>
      <c r="C505" s="16">
        <v>1.75</v>
      </c>
      <c r="D505" s="16">
        <v>80</v>
      </c>
      <c r="E505" s="16">
        <v>990</v>
      </c>
      <c r="F505" s="16">
        <v>0</v>
      </c>
    </row>
    <row r="506" spans="1:6" x14ac:dyDescent="0.2">
      <c r="A506" s="16">
        <v>28.58</v>
      </c>
      <c r="B506" s="16">
        <v>1.665</v>
      </c>
      <c r="C506" s="16">
        <v>2.415</v>
      </c>
      <c r="D506" s="16">
        <v>440</v>
      </c>
      <c r="E506" s="16">
        <v>0</v>
      </c>
      <c r="F506" s="16">
        <v>0</v>
      </c>
    </row>
    <row r="507" spans="1:6" x14ac:dyDescent="0.2">
      <c r="A507" s="16">
        <v>45.17</v>
      </c>
      <c r="B507" s="16">
        <v>1.5</v>
      </c>
      <c r="C507" s="16">
        <v>2.5</v>
      </c>
      <c r="D507" s="16">
        <v>140</v>
      </c>
      <c r="E507" s="16">
        <v>0</v>
      </c>
      <c r="F507" s="16">
        <v>0</v>
      </c>
    </row>
    <row r="508" spans="1:6" x14ac:dyDescent="0.2">
      <c r="A508" s="16">
        <v>41.58</v>
      </c>
      <c r="B508" s="16">
        <v>1.75</v>
      </c>
      <c r="C508" s="16">
        <v>0.21</v>
      </c>
      <c r="D508" s="16">
        <v>160</v>
      </c>
      <c r="E508" s="16">
        <v>0</v>
      </c>
      <c r="F508" s="16">
        <v>0</v>
      </c>
    </row>
    <row r="509" spans="1:6" x14ac:dyDescent="0.2">
      <c r="A509" s="16">
        <v>57.08</v>
      </c>
      <c r="B509" s="16">
        <v>0.33500000000000002</v>
      </c>
      <c r="C509" s="16">
        <v>1</v>
      </c>
      <c r="D509" s="16">
        <v>252</v>
      </c>
      <c r="E509" s="16">
        <v>2197</v>
      </c>
      <c r="F509" s="16">
        <v>0</v>
      </c>
    </row>
    <row r="510" spans="1:6" x14ac:dyDescent="0.2">
      <c r="A510" s="16">
        <v>55.75</v>
      </c>
      <c r="B510" s="16">
        <v>7.08</v>
      </c>
      <c r="C510" s="16">
        <v>6.75</v>
      </c>
      <c r="D510" s="16">
        <v>100</v>
      </c>
      <c r="E510" s="16">
        <v>50</v>
      </c>
      <c r="F510" s="16">
        <v>0</v>
      </c>
    </row>
    <row r="511" spans="1:6" x14ac:dyDescent="0.2">
      <c r="A511" s="16">
        <v>43.25</v>
      </c>
      <c r="B511" s="16">
        <v>25.21</v>
      </c>
      <c r="C511" s="16">
        <v>0.21</v>
      </c>
      <c r="D511" s="16">
        <v>760</v>
      </c>
      <c r="E511" s="16">
        <v>90</v>
      </c>
      <c r="F511" s="16">
        <v>0</v>
      </c>
    </row>
    <row r="512" spans="1:6" x14ac:dyDescent="0.2">
      <c r="A512" s="16">
        <v>25.33</v>
      </c>
      <c r="B512" s="16">
        <v>2.085</v>
      </c>
      <c r="C512" s="16">
        <v>2.75</v>
      </c>
      <c r="D512" s="16">
        <v>360</v>
      </c>
      <c r="E512" s="16">
        <v>1</v>
      </c>
      <c r="F512" s="16">
        <v>0</v>
      </c>
    </row>
    <row r="513" spans="1:6" x14ac:dyDescent="0.2">
      <c r="A513" s="16">
        <v>24.58</v>
      </c>
      <c r="B513" s="16">
        <v>0.67</v>
      </c>
      <c r="C513" s="16">
        <v>1.75</v>
      </c>
      <c r="D513" s="16">
        <v>400</v>
      </c>
      <c r="E513" s="16">
        <v>0</v>
      </c>
      <c r="F513" s="16">
        <v>0</v>
      </c>
    </row>
    <row r="514" spans="1:6" x14ac:dyDescent="0.2">
      <c r="A514" s="16">
        <v>43.17</v>
      </c>
      <c r="B514" s="16">
        <v>2.25</v>
      </c>
      <c r="C514" s="16">
        <v>0.75</v>
      </c>
      <c r="D514" s="16">
        <v>560</v>
      </c>
      <c r="E514" s="16">
        <v>0</v>
      </c>
      <c r="F514" s="16">
        <v>0</v>
      </c>
    </row>
    <row r="515" spans="1:6" x14ac:dyDescent="0.2">
      <c r="A515" s="16">
        <v>40.92</v>
      </c>
      <c r="B515" s="16">
        <v>0.83499999999999996</v>
      </c>
      <c r="C515" s="16">
        <v>0</v>
      </c>
      <c r="D515" s="16">
        <v>130</v>
      </c>
      <c r="E515" s="16">
        <v>1</v>
      </c>
      <c r="F515" s="16">
        <v>0</v>
      </c>
    </row>
    <row r="516" spans="1:6" x14ac:dyDescent="0.2">
      <c r="A516" s="16">
        <v>31.83</v>
      </c>
      <c r="B516" s="16">
        <v>2.5</v>
      </c>
      <c r="C516" s="16">
        <v>7.5</v>
      </c>
      <c r="D516" s="16">
        <v>523</v>
      </c>
      <c r="E516" s="16">
        <v>0</v>
      </c>
      <c r="F516" s="16">
        <v>0</v>
      </c>
    </row>
    <row r="517" spans="1:6" x14ac:dyDescent="0.2">
      <c r="A517" s="16">
        <v>33.92</v>
      </c>
      <c r="B517" s="16">
        <v>1.585</v>
      </c>
      <c r="C517" s="16">
        <v>0</v>
      </c>
      <c r="D517" s="16">
        <v>320</v>
      </c>
      <c r="E517" s="16">
        <v>0</v>
      </c>
      <c r="F517" s="16">
        <v>0</v>
      </c>
    </row>
    <row r="518" spans="1:6" x14ac:dyDescent="0.2">
      <c r="A518" s="16">
        <v>24.92</v>
      </c>
      <c r="B518" s="16">
        <v>1.25</v>
      </c>
      <c r="C518" s="16">
        <v>0</v>
      </c>
      <c r="D518" s="16">
        <v>80</v>
      </c>
      <c r="E518" s="16">
        <v>0</v>
      </c>
      <c r="F518" s="16">
        <v>0</v>
      </c>
    </row>
    <row r="519" spans="1:6" x14ac:dyDescent="0.2">
      <c r="A519" s="16">
        <v>35.25</v>
      </c>
      <c r="B519" s="16">
        <v>3.165</v>
      </c>
      <c r="C519" s="16">
        <v>3.75</v>
      </c>
      <c r="D519" s="16">
        <v>680</v>
      </c>
      <c r="E519" s="16">
        <v>0</v>
      </c>
      <c r="F519" s="16">
        <v>0</v>
      </c>
    </row>
    <row r="520" spans="1:6" x14ac:dyDescent="0.2">
      <c r="A520" s="16">
        <v>34.25</v>
      </c>
      <c r="B520" s="16">
        <v>1.75</v>
      </c>
      <c r="C520" s="16">
        <v>0.25</v>
      </c>
      <c r="D520" s="16">
        <v>163</v>
      </c>
      <c r="E520" s="16">
        <v>0</v>
      </c>
      <c r="F520" s="16">
        <v>0</v>
      </c>
    </row>
    <row r="521" spans="1:6" x14ac:dyDescent="0.2">
      <c r="A521" s="16">
        <v>80.25</v>
      </c>
      <c r="B521" s="16">
        <v>5.5</v>
      </c>
      <c r="C521" s="16">
        <v>0.54</v>
      </c>
      <c r="D521" s="16">
        <v>0</v>
      </c>
      <c r="E521" s="16">
        <v>340</v>
      </c>
      <c r="F521" s="16">
        <v>0</v>
      </c>
    </row>
    <row r="522" spans="1:6" x14ac:dyDescent="0.2">
      <c r="A522" s="16">
        <v>19.420000000000002</v>
      </c>
      <c r="B522" s="16">
        <v>1.5</v>
      </c>
      <c r="C522" s="16">
        <v>2</v>
      </c>
      <c r="D522" s="16">
        <v>100</v>
      </c>
      <c r="E522" s="16">
        <v>20</v>
      </c>
      <c r="F522" s="16">
        <v>0</v>
      </c>
    </row>
    <row r="523" spans="1:6" x14ac:dyDescent="0.2">
      <c r="A523" s="16">
        <v>42.75</v>
      </c>
      <c r="B523" s="16">
        <v>3</v>
      </c>
      <c r="C523" s="16">
        <v>1</v>
      </c>
      <c r="D523" s="16">
        <v>0</v>
      </c>
      <c r="E523" s="16">
        <v>200</v>
      </c>
      <c r="F523" s="16">
        <v>0</v>
      </c>
    </row>
    <row r="524" spans="1:6" x14ac:dyDescent="0.2">
      <c r="A524" s="16">
        <v>19.670000000000002</v>
      </c>
      <c r="B524" s="16">
        <v>10</v>
      </c>
      <c r="C524" s="16">
        <v>0.83499999999999996</v>
      </c>
      <c r="D524" s="16">
        <v>140</v>
      </c>
      <c r="E524" s="16">
        <v>0</v>
      </c>
      <c r="F524" s="16">
        <v>0</v>
      </c>
    </row>
    <row r="525" spans="1:6" x14ac:dyDescent="0.2">
      <c r="A525" s="16">
        <v>36.33</v>
      </c>
      <c r="B525" s="16">
        <v>3.79</v>
      </c>
      <c r="C525" s="16">
        <v>1.165</v>
      </c>
      <c r="D525" s="16">
        <v>200</v>
      </c>
      <c r="E525" s="16">
        <v>0</v>
      </c>
      <c r="F525" s="16">
        <v>0</v>
      </c>
    </row>
    <row r="526" spans="1:6" x14ac:dyDescent="0.2">
      <c r="A526" s="16">
        <v>30.08</v>
      </c>
      <c r="B526" s="16">
        <v>1.04</v>
      </c>
      <c r="C526" s="16">
        <v>0.5</v>
      </c>
      <c r="D526" s="16">
        <v>132</v>
      </c>
      <c r="E526" s="16">
        <v>28</v>
      </c>
      <c r="F526" s="16">
        <v>0</v>
      </c>
    </row>
    <row r="527" spans="1:6" x14ac:dyDescent="0.2">
      <c r="A527" s="16">
        <v>44.25</v>
      </c>
      <c r="B527" s="16">
        <v>11</v>
      </c>
      <c r="C527" s="16">
        <v>1.5</v>
      </c>
      <c r="D527" s="16">
        <v>0</v>
      </c>
      <c r="E527" s="16">
        <v>0</v>
      </c>
      <c r="F527" s="16">
        <v>0</v>
      </c>
    </row>
    <row r="528" spans="1:6" x14ac:dyDescent="0.2">
      <c r="A528" s="16">
        <v>23.58</v>
      </c>
      <c r="B528" s="16">
        <v>0.46</v>
      </c>
      <c r="C528" s="16">
        <v>2.625</v>
      </c>
      <c r="D528" s="16">
        <v>208</v>
      </c>
      <c r="E528" s="16">
        <v>347</v>
      </c>
      <c r="F528" s="16">
        <v>0</v>
      </c>
    </row>
    <row r="529" spans="1:6" x14ac:dyDescent="0.2">
      <c r="A529" s="16">
        <v>23.92</v>
      </c>
      <c r="B529" s="16">
        <v>1.5</v>
      </c>
      <c r="C529" s="16">
        <v>1.875</v>
      </c>
      <c r="D529" s="16">
        <v>200</v>
      </c>
      <c r="E529" s="16">
        <v>327</v>
      </c>
      <c r="F529" s="16">
        <v>1</v>
      </c>
    </row>
    <row r="530" spans="1:6" x14ac:dyDescent="0.2">
      <c r="A530" s="16">
        <v>33.17</v>
      </c>
      <c r="B530" s="16">
        <v>1</v>
      </c>
      <c r="C530" s="16">
        <v>0.75</v>
      </c>
      <c r="D530" s="16">
        <v>340</v>
      </c>
      <c r="E530" s="16">
        <v>4071</v>
      </c>
      <c r="F530" s="16">
        <v>1</v>
      </c>
    </row>
    <row r="531" spans="1:6" x14ac:dyDescent="0.2">
      <c r="A531" s="16">
        <v>48.33</v>
      </c>
      <c r="B531" s="16">
        <v>12</v>
      </c>
      <c r="C531" s="16">
        <v>16</v>
      </c>
      <c r="D531" s="16">
        <v>110</v>
      </c>
      <c r="E531" s="16">
        <v>0</v>
      </c>
      <c r="F531" s="16">
        <v>1</v>
      </c>
    </row>
    <row r="532" spans="1:6" x14ac:dyDescent="0.2">
      <c r="A532" s="16">
        <v>76.75</v>
      </c>
      <c r="B532" s="16">
        <v>22.29</v>
      </c>
      <c r="C532" s="16">
        <v>12.75</v>
      </c>
      <c r="D532" s="16">
        <v>0</v>
      </c>
      <c r="E532" s="16">
        <v>109</v>
      </c>
      <c r="F532" s="16">
        <v>1</v>
      </c>
    </row>
    <row r="533" spans="1:6" x14ac:dyDescent="0.2">
      <c r="A533" s="16">
        <v>51.33</v>
      </c>
      <c r="B533" s="16">
        <v>10</v>
      </c>
      <c r="C533" s="16">
        <v>0</v>
      </c>
      <c r="D533" s="16">
        <v>0</v>
      </c>
      <c r="E533" s="16">
        <v>1249</v>
      </c>
      <c r="F533" s="16">
        <v>1</v>
      </c>
    </row>
    <row r="534" spans="1:6" x14ac:dyDescent="0.2">
      <c r="A534" s="16">
        <v>34.75</v>
      </c>
      <c r="B534" s="16">
        <v>15</v>
      </c>
      <c r="C534" s="16">
        <v>5.375</v>
      </c>
      <c r="D534" s="16">
        <v>0</v>
      </c>
      <c r="E534" s="16">
        <v>134</v>
      </c>
      <c r="F534" s="16">
        <v>1</v>
      </c>
    </row>
    <row r="535" spans="1:6" x14ac:dyDescent="0.2">
      <c r="A535" s="16">
        <v>38.58</v>
      </c>
      <c r="B535" s="16">
        <v>3.335</v>
      </c>
      <c r="C535" s="16">
        <v>4</v>
      </c>
      <c r="D535" s="16">
        <v>383</v>
      </c>
      <c r="E535" s="16">
        <v>1344</v>
      </c>
      <c r="F535" s="16">
        <v>1</v>
      </c>
    </row>
    <row r="536" spans="1:6" x14ac:dyDescent="0.2">
      <c r="A536" s="16">
        <v>22.42</v>
      </c>
      <c r="B536" s="16">
        <v>11.25</v>
      </c>
      <c r="C536" s="16">
        <v>0.75</v>
      </c>
      <c r="D536" s="16">
        <v>0</v>
      </c>
      <c r="E536" s="16">
        <v>321</v>
      </c>
      <c r="F536" s="16">
        <v>1</v>
      </c>
    </row>
    <row r="537" spans="1:6" x14ac:dyDescent="0.2">
      <c r="A537" s="16">
        <v>41.92</v>
      </c>
      <c r="B537" s="16">
        <v>0.42</v>
      </c>
      <c r="C537" s="16">
        <v>0.21</v>
      </c>
      <c r="D537" s="16">
        <v>220</v>
      </c>
      <c r="E537" s="16">
        <v>948</v>
      </c>
      <c r="F537" s="16">
        <v>1</v>
      </c>
    </row>
    <row r="538" spans="1:6" x14ac:dyDescent="0.2">
      <c r="A538" s="16">
        <v>29.58</v>
      </c>
      <c r="B538" s="16">
        <v>4.5</v>
      </c>
      <c r="C538" s="16">
        <v>7.5</v>
      </c>
      <c r="D538" s="16">
        <v>330</v>
      </c>
      <c r="E538" s="16">
        <v>0</v>
      </c>
      <c r="F538" s="16">
        <v>1</v>
      </c>
    </row>
    <row r="539" spans="1:6" x14ac:dyDescent="0.2">
      <c r="A539" s="16">
        <v>32.17</v>
      </c>
      <c r="B539" s="16">
        <v>1.46</v>
      </c>
      <c r="C539" s="16">
        <v>1.085</v>
      </c>
      <c r="D539" s="16">
        <v>120</v>
      </c>
      <c r="E539" s="16">
        <v>2079</v>
      </c>
      <c r="F539" s="16">
        <v>1</v>
      </c>
    </row>
    <row r="540" spans="1:6" x14ac:dyDescent="0.2">
      <c r="A540" s="16">
        <v>51.42</v>
      </c>
      <c r="B540" s="16">
        <v>0.04</v>
      </c>
      <c r="C540" s="16">
        <v>0.04</v>
      </c>
      <c r="D540" s="16">
        <v>0</v>
      </c>
      <c r="E540" s="16">
        <v>3000</v>
      </c>
      <c r="F540" s="16">
        <v>1</v>
      </c>
    </row>
    <row r="541" spans="1:6" x14ac:dyDescent="0.2">
      <c r="A541" s="16">
        <v>22.83</v>
      </c>
      <c r="B541" s="16">
        <v>2.29</v>
      </c>
      <c r="C541" s="16">
        <v>2.29</v>
      </c>
      <c r="D541" s="16">
        <v>140</v>
      </c>
      <c r="E541" s="16">
        <v>2384</v>
      </c>
      <c r="F541" s="16">
        <v>1</v>
      </c>
    </row>
    <row r="542" spans="1:6" x14ac:dyDescent="0.2">
      <c r="A542" s="16">
        <v>25</v>
      </c>
      <c r="B542" s="16">
        <v>12.33</v>
      </c>
      <c r="C542" s="16">
        <v>3.5</v>
      </c>
      <c r="D542" s="16">
        <v>400</v>
      </c>
      <c r="E542" s="16">
        <v>458</v>
      </c>
      <c r="F542" s="16">
        <v>1</v>
      </c>
    </row>
    <row r="543" spans="1:6" x14ac:dyDescent="0.2">
      <c r="A543" s="16">
        <v>26.75</v>
      </c>
      <c r="B543" s="16">
        <v>1.125</v>
      </c>
      <c r="C543" s="16">
        <v>1.25</v>
      </c>
      <c r="D543" s="16">
        <v>0</v>
      </c>
      <c r="E543" s="16">
        <v>5298</v>
      </c>
      <c r="F543" s="16">
        <v>1</v>
      </c>
    </row>
    <row r="544" spans="1:6" x14ac:dyDescent="0.2">
      <c r="A544" s="16">
        <v>23.33</v>
      </c>
      <c r="B544" s="16">
        <v>1.5</v>
      </c>
      <c r="C544" s="16">
        <v>1.415</v>
      </c>
      <c r="D544" s="16">
        <v>422</v>
      </c>
      <c r="E544" s="16">
        <v>200</v>
      </c>
      <c r="F544" s="16">
        <v>1</v>
      </c>
    </row>
    <row r="545" spans="1:6" x14ac:dyDescent="0.2">
      <c r="A545" s="16">
        <v>24.42</v>
      </c>
      <c r="B545" s="16">
        <v>12.335000000000001</v>
      </c>
      <c r="C545" s="16">
        <v>1.585</v>
      </c>
      <c r="D545" s="16">
        <v>120</v>
      </c>
      <c r="E545" s="16">
        <v>0</v>
      </c>
      <c r="F545" s="16">
        <v>1</v>
      </c>
    </row>
    <row r="546" spans="1:6" x14ac:dyDescent="0.2">
      <c r="A546" s="16">
        <v>42.17</v>
      </c>
      <c r="B546" s="16">
        <v>5.04</v>
      </c>
      <c r="C546" s="16">
        <v>12.75</v>
      </c>
      <c r="D546" s="16">
        <v>92</v>
      </c>
      <c r="E546" s="16">
        <v>0</v>
      </c>
      <c r="F546" s="16">
        <v>1</v>
      </c>
    </row>
    <row r="547" spans="1:6" x14ac:dyDescent="0.2">
      <c r="A547" s="16">
        <v>20.83</v>
      </c>
      <c r="B547" s="16">
        <v>3</v>
      </c>
      <c r="C547" s="16">
        <v>0.04</v>
      </c>
      <c r="D547" s="16">
        <v>100</v>
      </c>
      <c r="E547" s="16">
        <v>0</v>
      </c>
      <c r="F547" s="16">
        <v>1</v>
      </c>
    </row>
    <row r="548" spans="1:6" x14ac:dyDescent="0.2">
      <c r="A548" s="16">
        <v>23.08</v>
      </c>
      <c r="B548" s="16">
        <v>11.5</v>
      </c>
      <c r="C548" s="16">
        <v>2.125</v>
      </c>
      <c r="D548" s="16">
        <v>290</v>
      </c>
      <c r="E548" s="16">
        <v>284</v>
      </c>
      <c r="F548" s="16">
        <v>1</v>
      </c>
    </row>
    <row r="549" spans="1:6" x14ac:dyDescent="0.2">
      <c r="A549" s="16">
        <v>25.17</v>
      </c>
      <c r="B549" s="16">
        <v>2.875</v>
      </c>
      <c r="C549" s="16">
        <v>0.875</v>
      </c>
      <c r="D549" s="16">
        <v>360</v>
      </c>
      <c r="E549" s="16">
        <v>0</v>
      </c>
      <c r="F549" s="16">
        <v>1</v>
      </c>
    </row>
    <row r="550" spans="1:6" x14ac:dyDescent="0.2">
      <c r="A550" s="16">
        <v>43.08</v>
      </c>
      <c r="B550" s="16">
        <v>0.375</v>
      </c>
      <c r="C550" s="16">
        <v>0.375</v>
      </c>
      <c r="D550" s="16">
        <v>300</v>
      </c>
      <c r="E550" s="16">
        <v>162</v>
      </c>
      <c r="F550" s="16">
        <v>1</v>
      </c>
    </row>
    <row r="551" spans="1:6" x14ac:dyDescent="0.2">
      <c r="A551" s="16">
        <v>35.75</v>
      </c>
      <c r="B551" s="16">
        <v>0.91500000000000004</v>
      </c>
      <c r="C551" s="16">
        <v>0.75</v>
      </c>
      <c r="D551" s="16">
        <v>0</v>
      </c>
      <c r="E551" s="16">
        <v>1583</v>
      </c>
      <c r="F551" s="16">
        <v>1</v>
      </c>
    </row>
    <row r="552" spans="1:6" x14ac:dyDescent="0.2">
      <c r="A552" s="16">
        <v>59.5</v>
      </c>
      <c r="B552" s="16">
        <v>2.75</v>
      </c>
      <c r="C552" s="16">
        <v>1.75</v>
      </c>
      <c r="D552" s="16">
        <v>60</v>
      </c>
      <c r="E552" s="16">
        <v>58</v>
      </c>
      <c r="F552" s="16">
        <v>1</v>
      </c>
    </row>
    <row r="553" spans="1:6" x14ac:dyDescent="0.2">
      <c r="A553" s="16">
        <v>21</v>
      </c>
      <c r="B553" s="16">
        <v>3</v>
      </c>
      <c r="C553" s="16">
        <v>1.085</v>
      </c>
      <c r="D553" s="16">
        <v>160</v>
      </c>
      <c r="E553" s="16">
        <v>1</v>
      </c>
      <c r="F553" s="16">
        <v>1</v>
      </c>
    </row>
    <row r="554" spans="1:6" x14ac:dyDescent="0.2">
      <c r="A554" s="16">
        <v>21.92</v>
      </c>
      <c r="B554" s="16">
        <v>0.54</v>
      </c>
      <c r="C554" s="16">
        <v>0.04</v>
      </c>
      <c r="D554" s="16">
        <v>840</v>
      </c>
      <c r="E554" s="16">
        <v>59</v>
      </c>
      <c r="F554" s="16">
        <v>1</v>
      </c>
    </row>
    <row r="555" spans="1:6" x14ac:dyDescent="0.2">
      <c r="A555" s="16">
        <v>65.17</v>
      </c>
      <c r="B555" s="16">
        <v>14</v>
      </c>
      <c r="C555" s="16">
        <v>0</v>
      </c>
      <c r="D555" s="16">
        <v>0</v>
      </c>
      <c r="E555" s="16">
        <v>1400</v>
      </c>
      <c r="F555" s="16">
        <v>1</v>
      </c>
    </row>
    <row r="556" spans="1:6" x14ac:dyDescent="0.2">
      <c r="A556" s="16">
        <v>20.329999999999998</v>
      </c>
      <c r="B556" s="16">
        <v>10</v>
      </c>
      <c r="C556" s="16">
        <v>1</v>
      </c>
      <c r="D556" s="16">
        <v>50</v>
      </c>
      <c r="E556" s="16">
        <v>1465</v>
      </c>
      <c r="F556" s="16">
        <v>1</v>
      </c>
    </row>
    <row r="557" spans="1:6" x14ac:dyDescent="0.2">
      <c r="A557" s="16">
        <v>32.25</v>
      </c>
      <c r="B557" s="16">
        <v>0.16500000000000001</v>
      </c>
      <c r="C557" s="16">
        <v>3.25</v>
      </c>
      <c r="D557" s="16">
        <v>432</v>
      </c>
      <c r="E557" s="16">
        <v>8000</v>
      </c>
      <c r="F557" s="16">
        <v>1</v>
      </c>
    </row>
    <row r="558" spans="1:6" x14ac:dyDescent="0.2">
      <c r="A558" s="16">
        <v>30.17</v>
      </c>
      <c r="B558" s="16">
        <v>0.5</v>
      </c>
      <c r="C558" s="16">
        <v>1.75</v>
      </c>
      <c r="D558" s="16">
        <v>32</v>
      </c>
      <c r="E558" s="16">
        <v>540</v>
      </c>
      <c r="F558" s="16">
        <v>1</v>
      </c>
    </row>
    <row r="559" spans="1:6" x14ac:dyDescent="0.2">
      <c r="A559" s="16">
        <v>25.17</v>
      </c>
      <c r="B559" s="16">
        <v>6</v>
      </c>
      <c r="C559" s="16">
        <v>1</v>
      </c>
      <c r="D559" s="16">
        <v>0</v>
      </c>
      <c r="E559" s="16">
        <v>0</v>
      </c>
      <c r="F559" s="16">
        <v>1</v>
      </c>
    </row>
    <row r="560" spans="1:6" x14ac:dyDescent="0.2">
      <c r="A560" s="16">
        <v>39.17</v>
      </c>
      <c r="B560" s="16">
        <v>1.625</v>
      </c>
      <c r="C560" s="16">
        <v>1.5</v>
      </c>
      <c r="D560" s="16">
        <v>186</v>
      </c>
      <c r="E560" s="16">
        <v>4700</v>
      </c>
      <c r="F560" s="16">
        <v>1</v>
      </c>
    </row>
    <row r="561" spans="1:6" x14ac:dyDescent="0.2">
      <c r="A561" s="16">
        <v>39.08</v>
      </c>
      <c r="B561" s="16">
        <v>6</v>
      </c>
      <c r="C561" s="16">
        <v>1.29</v>
      </c>
      <c r="D561" s="16">
        <v>108</v>
      </c>
      <c r="E561" s="16">
        <v>1097</v>
      </c>
      <c r="F561" s="16">
        <v>1</v>
      </c>
    </row>
    <row r="562" spans="1:6" x14ac:dyDescent="0.2">
      <c r="A562" s="16">
        <v>31.67</v>
      </c>
      <c r="B562" s="16">
        <v>0.83</v>
      </c>
      <c r="C562" s="16">
        <v>1.335</v>
      </c>
      <c r="D562" s="16">
        <v>303</v>
      </c>
      <c r="E562" s="16">
        <v>3290</v>
      </c>
      <c r="F562" s="16">
        <v>1</v>
      </c>
    </row>
    <row r="563" spans="1:6" x14ac:dyDescent="0.2">
      <c r="A563" s="16">
        <v>41</v>
      </c>
      <c r="B563" s="16">
        <v>0.04</v>
      </c>
      <c r="C563" s="16">
        <v>0.04</v>
      </c>
      <c r="D563" s="16">
        <v>560</v>
      </c>
      <c r="E563" s="16">
        <v>0</v>
      </c>
      <c r="F563" s="16">
        <v>1</v>
      </c>
    </row>
    <row r="564" spans="1:6" x14ac:dyDescent="0.2">
      <c r="A564" s="16">
        <v>48.5</v>
      </c>
      <c r="B564" s="16">
        <v>4.25</v>
      </c>
      <c r="C564" s="16">
        <v>0.125</v>
      </c>
      <c r="D564" s="16">
        <v>225</v>
      </c>
      <c r="E564" s="16">
        <v>0</v>
      </c>
      <c r="F564" s="16">
        <v>1</v>
      </c>
    </row>
    <row r="565" spans="1:6" x14ac:dyDescent="0.2">
      <c r="A565" s="16">
        <v>32.67</v>
      </c>
      <c r="B565" s="16">
        <v>9</v>
      </c>
      <c r="C565" s="16">
        <v>5.25</v>
      </c>
      <c r="D565" s="16">
        <v>154</v>
      </c>
      <c r="E565" s="16">
        <v>0</v>
      </c>
      <c r="F565" s="16">
        <v>1</v>
      </c>
    </row>
    <row r="566" spans="1:6" x14ac:dyDescent="0.2">
      <c r="A566" s="16">
        <v>28.08</v>
      </c>
      <c r="B566" s="16">
        <v>15</v>
      </c>
      <c r="C566" s="16">
        <v>0</v>
      </c>
      <c r="D566" s="16">
        <v>0</v>
      </c>
      <c r="E566" s="16">
        <v>13212</v>
      </c>
      <c r="F566" s="16">
        <v>1</v>
      </c>
    </row>
    <row r="567" spans="1:6" x14ac:dyDescent="0.2">
      <c r="A567" s="16">
        <v>73.42</v>
      </c>
      <c r="B567" s="16">
        <v>17.75</v>
      </c>
      <c r="C567" s="16">
        <v>0</v>
      </c>
      <c r="D567" s="16">
        <v>0</v>
      </c>
      <c r="E567" s="16">
        <v>0</v>
      </c>
      <c r="F567" s="16">
        <v>1</v>
      </c>
    </row>
    <row r="568" spans="1:6" x14ac:dyDescent="0.2">
      <c r="A568" s="16">
        <v>64.08</v>
      </c>
      <c r="B568" s="16">
        <v>20</v>
      </c>
      <c r="C568" s="16">
        <v>17.5</v>
      </c>
      <c r="D568" s="16">
        <v>0</v>
      </c>
      <c r="E568" s="16">
        <v>1000</v>
      </c>
      <c r="F568" s="16">
        <v>1</v>
      </c>
    </row>
    <row r="569" spans="1:6" x14ac:dyDescent="0.2">
      <c r="A569" s="16">
        <v>51.58</v>
      </c>
      <c r="B569" s="16">
        <v>15</v>
      </c>
      <c r="C569" s="16">
        <v>8.5</v>
      </c>
      <c r="D569" s="16">
        <v>0</v>
      </c>
      <c r="E569" s="16">
        <v>0</v>
      </c>
      <c r="F569" s="16">
        <v>1</v>
      </c>
    </row>
    <row r="570" spans="1:6" x14ac:dyDescent="0.2">
      <c r="A570" s="16">
        <v>26.67</v>
      </c>
      <c r="B570" s="16">
        <v>1.75</v>
      </c>
      <c r="C570" s="16">
        <v>1</v>
      </c>
      <c r="D570" s="16">
        <v>160</v>
      </c>
      <c r="E570" s="16">
        <v>5777</v>
      </c>
      <c r="F570" s="16">
        <v>1</v>
      </c>
    </row>
    <row r="571" spans="1:6" x14ac:dyDescent="0.2">
      <c r="A571" s="16">
        <v>25.33</v>
      </c>
      <c r="B571" s="16">
        <v>0.57999999999999996</v>
      </c>
      <c r="C571" s="16">
        <v>0.28999999999999998</v>
      </c>
      <c r="D571" s="16">
        <v>96</v>
      </c>
      <c r="E571" s="16">
        <v>5124</v>
      </c>
      <c r="F571" s="16">
        <v>1</v>
      </c>
    </row>
    <row r="572" spans="1:6" x14ac:dyDescent="0.2">
      <c r="A572" s="16">
        <v>30.17</v>
      </c>
      <c r="B572" s="16">
        <v>6.5</v>
      </c>
      <c r="C572" s="16">
        <v>3.125</v>
      </c>
      <c r="D572" s="16">
        <v>330</v>
      </c>
      <c r="E572" s="16">
        <v>1200</v>
      </c>
      <c r="F572" s="16">
        <v>1</v>
      </c>
    </row>
    <row r="573" spans="1:6" x14ac:dyDescent="0.2">
      <c r="A573" s="16">
        <v>27</v>
      </c>
      <c r="B573" s="16">
        <v>0.75</v>
      </c>
      <c r="C573" s="16">
        <v>4.25</v>
      </c>
      <c r="D573" s="16">
        <v>312</v>
      </c>
      <c r="E573" s="16">
        <v>150</v>
      </c>
      <c r="F573" s="16">
        <v>1</v>
      </c>
    </row>
    <row r="574" spans="1:6" x14ac:dyDescent="0.2">
      <c r="A574" s="16">
        <v>34.17</v>
      </c>
      <c r="B574" s="16">
        <v>5.25</v>
      </c>
      <c r="C574" s="16">
        <v>8.5000000000000006E-2</v>
      </c>
      <c r="D574" s="16">
        <v>290</v>
      </c>
      <c r="E574" s="16">
        <v>6</v>
      </c>
      <c r="F574" s="16">
        <v>1</v>
      </c>
    </row>
    <row r="575" spans="1:6" x14ac:dyDescent="0.2">
      <c r="A575" s="16">
        <v>38.67</v>
      </c>
      <c r="B575" s="16">
        <v>0.21</v>
      </c>
      <c r="C575" s="16">
        <v>8.5000000000000006E-2</v>
      </c>
      <c r="D575" s="16">
        <v>280</v>
      </c>
      <c r="E575" s="16">
        <v>0</v>
      </c>
      <c r="F575" s="16">
        <v>1</v>
      </c>
    </row>
    <row r="576" spans="1:6" x14ac:dyDescent="0.2">
      <c r="A576" s="16">
        <v>25.75</v>
      </c>
      <c r="B576" s="16">
        <v>0.75</v>
      </c>
      <c r="C576" s="16">
        <v>0.25</v>
      </c>
      <c r="D576" s="16">
        <v>349</v>
      </c>
      <c r="E576" s="16">
        <v>23</v>
      </c>
      <c r="F576" s="16">
        <v>1</v>
      </c>
    </row>
    <row r="577" spans="1:6" x14ac:dyDescent="0.2">
      <c r="A577" s="16">
        <v>46.08</v>
      </c>
      <c r="B577" s="16">
        <v>3</v>
      </c>
      <c r="C577" s="16">
        <v>2.375</v>
      </c>
      <c r="D577" s="16">
        <v>396</v>
      </c>
      <c r="E577" s="16">
        <v>4159</v>
      </c>
      <c r="F577" s="16">
        <v>1</v>
      </c>
    </row>
    <row r="578" spans="1:6" x14ac:dyDescent="0.2">
      <c r="A578" s="16">
        <v>21.5</v>
      </c>
      <c r="B578" s="16">
        <v>6</v>
      </c>
      <c r="C578" s="16">
        <v>2.5</v>
      </c>
      <c r="D578" s="16">
        <v>80</v>
      </c>
      <c r="E578" s="16">
        <v>918</v>
      </c>
      <c r="F578" s="16">
        <v>1</v>
      </c>
    </row>
    <row r="579" spans="1:6" x14ac:dyDescent="0.2">
      <c r="A579" s="16">
        <v>20.079999999999998</v>
      </c>
      <c r="B579" s="16">
        <v>0.125</v>
      </c>
      <c r="C579" s="16">
        <v>1</v>
      </c>
      <c r="D579" s="16">
        <v>240</v>
      </c>
      <c r="E579" s="16">
        <v>768</v>
      </c>
      <c r="F579" s="16">
        <v>1</v>
      </c>
    </row>
    <row r="580" spans="1:6" x14ac:dyDescent="0.2">
      <c r="A580" s="16">
        <v>20.5</v>
      </c>
      <c r="B580" s="16">
        <v>2.415</v>
      </c>
      <c r="C580" s="16">
        <v>2</v>
      </c>
      <c r="D580" s="16">
        <v>200</v>
      </c>
      <c r="E580" s="16">
        <v>3000</v>
      </c>
      <c r="F580" s="16">
        <v>1</v>
      </c>
    </row>
    <row r="581" spans="1:6" x14ac:dyDescent="0.2">
      <c r="A581" s="16">
        <v>29.5</v>
      </c>
      <c r="B581" s="16">
        <v>0.46</v>
      </c>
      <c r="C581" s="16">
        <v>0.54</v>
      </c>
      <c r="D581" s="16">
        <v>380</v>
      </c>
      <c r="E581" s="16">
        <v>500</v>
      </c>
      <c r="F581" s="16">
        <v>1</v>
      </c>
    </row>
    <row r="582" spans="1:6" x14ac:dyDescent="0.2">
      <c r="A582" s="16">
        <v>42.25</v>
      </c>
      <c r="B582" s="16">
        <v>1.75</v>
      </c>
      <c r="C582" s="16">
        <v>0</v>
      </c>
      <c r="D582" s="16">
        <v>150</v>
      </c>
      <c r="E582" s="16">
        <v>1</v>
      </c>
      <c r="F582" s="16">
        <v>0</v>
      </c>
    </row>
    <row r="583" spans="1:6" x14ac:dyDescent="0.2">
      <c r="A583" s="16">
        <v>29.83</v>
      </c>
      <c r="B583" s="16">
        <v>1.25</v>
      </c>
      <c r="C583" s="16">
        <v>0.25</v>
      </c>
      <c r="D583" s="16">
        <v>224</v>
      </c>
      <c r="E583" s="16">
        <v>0</v>
      </c>
      <c r="F583" s="16">
        <v>0</v>
      </c>
    </row>
    <row r="584" spans="1:6" x14ac:dyDescent="0.2">
      <c r="A584" s="16">
        <v>20.079999999999998</v>
      </c>
      <c r="B584" s="16">
        <v>0.25</v>
      </c>
      <c r="C584" s="16">
        <v>0.125</v>
      </c>
      <c r="D584" s="16">
        <v>200</v>
      </c>
      <c r="E584" s="16">
        <v>0</v>
      </c>
      <c r="F584" s="16">
        <v>0</v>
      </c>
    </row>
    <row r="585" spans="1:6" x14ac:dyDescent="0.2">
      <c r="A585" s="16">
        <v>23.42</v>
      </c>
      <c r="B585" s="16">
        <v>0.58499999999999996</v>
      </c>
      <c r="C585" s="16">
        <v>8.5000000000000006E-2</v>
      </c>
      <c r="D585" s="16">
        <v>180</v>
      </c>
      <c r="E585" s="16">
        <v>0</v>
      </c>
      <c r="F585" s="16">
        <v>0</v>
      </c>
    </row>
    <row r="586" spans="1:6" x14ac:dyDescent="0.2">
      <c r="A586" s="16">
        <v>29.58</v>
      </c>
      <c r="B586" s="16">
        <v>1.75</v>
      </c>
      <c r="C586" s="16">
        <v>1.25</v>
      </c>
      <c r="D586" s="16">
        <v>280</v>
      </c>
      <c r="E586" s="16">
        <v>0</v>
      </c>
      <c r="F586" s="16">
        <v>0</v>
      </c>
    </row>
    <row r="587" spans="1:6" x14ac:dyDescent="0.2">
      <c r="A587" s="16">
        <v>16.170000000000002</v>
      </c>
      <c r="B587" s="16">
        <v>0.04</v>
      </c>
      <c r="C587" s="16">
        <v>0.04</v>
      </c>
      <c r="D587" s="16">
        <v>0</v>
      </c>
      <c r="E587" s="16">
        <v>0</v>
      </c>
      <c r="F587" s="16">
        <v>1</v>
      </c>
    </row>
    <row r="588" spans="1:6" x14ac:dyDescent="0.2">
      <c r="A588" s="16">
        <v>32.33</v>
      </c>
      <c r="B588" s="16">
        <v>3.5</v>
      </c>
      <c r="C588" s="16">
        <v>0.5</v>
      </c>
      <c r="D588" s="16">
        <v>232</v>
      </c>
      <c r="E588" s="16">
        <v>0</v>
      </c>
      <c r="F588" s="16">
        <v>0</v>
      </c>
    </row>
    <row r="589" spans="1:6" x14ac:dyDescent="0.2">
      <c r="A589" s="16">
        <v>47.83</v>
      </c>
      <c r="B589" s="16">
        <v>4.165</v>
      </c>
      <c r="C589" s="16">
        <v>8.5000000000000006E-2</v>
      </c>
      <c r="D589" s="16">
        <v>520</v>
      </c>
      <c r="E589" s="16">
        <v>0</v>
      </c>
      <c r="F589" s="16">
        <v>0</v>
      </c>
    </row>
    <row r="590" spans="1:6" x14ac:dyDescent="0.2">
      <c r="A590" s="16">
        <v>20</v>
      </c>
      <c r="B590" s="16">
        <v>1.25</v>
      </c>
      <c r="C590" s="16">
        <v>0.125</v>
      </c>
      <c r="D590" s="16">
        <v>140</v>
      </c>
      <c r="E590" s="16">
        <v>4</v>
      </c>
      <c r="F590" s="16">
        <v>0</v>
      </c>
    </row>
    <row r="591" spans="1:6" x14ac:dyDescent="0.2">
      <c r="A591" s="16">
        <v>27.58</v>
      </c>
      <c r="B591" s="16">
        <v>3.25</v>
      </c>
      <c r="C591" s="16">
        <v>5.085</v>
      </c>
      <c r="D591" s="16">
        <v>369</v>
      </c>
      <c r="E591" s="16">
        <v>1</v>
      </c>
      <c r="F591" s="16">
        <v>0</v>
      </c>
    </row>
    <row r="592" spans="1:6" x14ac:dyDescent="0.2">
      <c r="A592" s="16">
        <v>22</v>
      </c>
      <c r="B592" s="16">
        <v>0.79</v>
      </c>
      <c r="C592" s="16">
        <v>0.28999999999999998</v>
      </c>
      <c r="D592" s="16">
        <v>420</v>
      </c>
      <c r="E592" s="16">
        <v>283</v>
      </c>
      <c r="F592" s="16">
        <v>0</v>
      </c>
    </row>
    <row r="593" spans="1:6" x14ac:dyDescent="0.2">
      <c r="A593" s="16">
        <v>19.329999999999998</v>
      </c>
      <c r="B593" s="16">
        <v>10.914999999999999</v>
      </c>
      <c r="C593" s="16">
        <v>0.58499999999999996</v>
      </c>
      <c r="D593" s="16">
        <v>200</v>
      </c>
      <c r="E593" s="16">
        <v>7</v>
      </c>
      <c r="F593" s="16">
        <v>0</v>
      </c>
    </row>
    <row r="594" spans="1:6" x14ac:dyDescent="0.2">
      <c r="A594" s="16">
        <v>38.33</v>
      </c>
      <c r="B594" s="16">
        <v>4.415</v>
      </c>
      <c r="C594" s="16">
        <v>0.125</v>
      </c>
      <c r="D594" s="16">
        <v>160</v>
      </c>
      <c r="E594" s="16">
        <v>0</v>
      </c>
      <c r="F594" s="16">
        <v>0</v>
      </c>
    </row>
    <row r="595" spans="1:6" x14ac:dyDescent="0.2">
      <c r="A595" s="16">
        <v>29.42</v>
      </c>
      <c r="B595" s="16">
        <v>1.25</v>
      </c>
      <c r="C595" s="16">
        <v>0.25</v>
      </c>
      <c r="D595" s="16">
        <v>400</v>
      </c>
      <c r="E595" s="16">
        <v>108</v>
      </c>
      <c r="F595" s="16">
        <v>0</v>
      </c>
    </row>
    <row r="596" spans="1:6" x14ac:dyDescent="0.2">
      <c r="A596" s="16">
        <v>22.67</v>
      </c>
      <c r="B596" s="16">
        <v>0.75</v>
      </c>
      <c r="C596" s="16">
        <v>1.585</v>
      </c>
      <c r="D596" s="16">
        <v>400</v>
      </c>
      <c r="E596" s="16">
        <v>9</v>
      </c>
      <c r="F596" s="16">
        <v>0</v>
      </c>
    </row>
    <row r="597" spans="1:6" x14ac:dyDescent="0.2">
      <c r="A597" s="16">
        <v>32.25</v>
      </c>
      <c r="B597" s="16">
        <v>14</v>
      </c>
      <c r="C597" s="16">
        <v>0</v>
      </c>
      <c r="D597" s="16">
        <v>160</v>
      </c>
      <c r="E597" s="16">
        <v>1</v>
      </c>
      <c r="F597" s="16">
        <v>0</v>
      </c>
    </row>
    <row r="598" spans="1:6" x14ac:dyDescent="0.2">
      <c r="A598" s="16">
        <v>29.58</v>
      </c>
      <c r="B598" s="16">
        <v>4.75</v>
      </c>
      <c r="C598" s="16">
        <v>2</v>
      </c>
      <c r="D598" s="16">
        <v>460</v>
      </c>
      <c r="E598" s="16">
        <v>68</v>
      </c>
      <c r="F598" s="16">
        <v>0</v>
      </c>
    </row>
    <row r="599" spans="1:6" x14ac:dyDescent="0.2">
      <c r="A599" s="16">
        <v>18.420000000000002</v>
      </c>
      <c r="B599" s="16">
        <v>10.414999999999999</v>
      </c>
      <c r="C599" s="16">
        <v>0.125</v>
      </c>
      <c r="D599" s="16">
        <v>120</v>
      </c>
      <c r="E599" s="16">
        <v>375</v>
      </c>
      <c r="F599" s="16">
        <v>0</v>
      </c>
    </row>
    <row r="600" spans="1:6" x14ac:dyDescent="0.2">
      <c r="A600" s="16">
        <v>22.17</v>
      </c>
      <c r="B600" s="16">
        <v>2.25</v>
      </c>
      <c r="C600" s="16">
        <v>0.125</v>
      </c>
      <c r="D600" s="16">
        <v>160</v>
      </c>
      <c r="E600" s="16">
        <v>10</v>
      </c>
      <c r="F600" s="16">
        <v>0</v>
      </c>
    </row>
    <row r="601" spans="1:6" x14ac:dyDescent="0.2">
      <c r="A601" s="16">
        <v>22.67</v>
      </c>
      <c r="B601" s="16">
        <v>0.16500000000000001</v>
      </c>
      <c r="C601" s="16">
        <v>2.25</v>
      </c>
      <c r="D601" s="16">
        <v>0</v>
      </c>
      <c r="E601" s="16">
        <v>0</v>
      </c>
      <c r="F601" s="16">
        <v>1</v>
      </c>
    </row>
    <row r="602" spans="1:6" x14ac:dyDescent="0.2">
      <c r="A602" s="16">
        <v>18.829999999999998</v>
      </c>
      <c r="B602" s="16">
        <v>0</v>
      </c>
      <c r="C602" s="16">
        <v>0.66500000000000004</v>
      </c>
      <c r="D602" s="16">
        <v>160</v>
      </c>
      <c r="E602" s="16">
        <v>1</v>
      </c>
      <c r="F602" s="16">
        <v>0</v>
      </c>
    </row>
    <row r="603" spans="1:6" x14ac:dyDescent="0.2">
      <c r="A603" s="16">
        <v>21.58</v>
      </c>
      <c r="B603" s="16">
        <v>0.79</v>
      </c>
      <c r="C603" s="16">
        <v>0.66500000000000004</v>
      </c>
      <c r="D603" s="16">
        <v>160</v>
      </c>
      <c r="E603" s="16">
        <v>0</v>
      </c>
      <c r="F603" s="16">
        <v>0</v>
      </c>
    </row>
    <row r="604" spans="1:6" x14ac:dyDescent="0.2">
      <c r="A604" s="16">
        <v>23.75</v>
      </c>
      <c r="B604" s="16">
        <v>12</v>
      </c>
      <c r="C604" s="16">
        <v>2.085</v>
      </c>
      <c r="D604" s="16">
        <v>80</v>
      </c>
      <c r="E604" s="16">
        <v>0</v>
      </c>
      <c r="F604" s="16">
        <v>0</v>
      </c>
    </row>
    <row r="605" spans="1:6" x14ac:dyDescent="0.2">
      <c r="A605" s="16">
        <v>36.08</v>
      </c>
      <c r="B605" s="16">
        <v>2.54</v>
      </c>
      <c r="C605" s="16">
        <v>0</v>
      </c>
      <c r="D605" s="16">
        <v>0</v>
      </c>
      <c r="E605" s="16">
        <v>1000</v>
      </c>
      <c r="F605" s="16">
        <v>0</v>
      </c>
    </row>
    <row r="606" spans="1:6" x14ac:dyDescent="0.2">
      <c r="A606" s="16">
        <v>29.25</v>
      </c>
      <c r="B606" s="16">
        <v>13</v>
      </c>
      <c r="C606" s="16">
        <v>0.5</v>
      </c>
      <c r="D606" s="16">
        <v>228</v>
      </c>
      <c r="E606" s="16">
        <v>0</v>
      </c>
      <c r="F606" s="16">
        <v>0</v>
      </c>
    </row>
    <row r="607" spans="1:6" x14ac:dyDescent="0.2">
      <c r="A607" s="16">
        <v>19.579999999999998</v>
      </c>
      <c r="B607" s="16">
        <v>0.66500000000000004</v>
      </c>
      <c r="C607" s="16">
        <v>1.665</v>
      </c>
      <c r="D607" s="16">
        <v>220</v>
      </c>
      <c r="E607" s="16">
        <v>5</v>
      </c>
      <c r="F607" s="16">
        <v>0</v>
      </c>
    </row>
    <row r="608" spans="1:6" x14ac:dyDescent="0.2">
      <c r="A608" s="16">
        <v>22.92</v>
      </c>
      <c r="B608" s="16">
        <v>1.25</v>
      </c>
      <c r="C608" s="16">
        <v>0.25</v>
      </c>
      <c r="D608" s="16">
        <v>120</v>
      </c>
      <c r="E608" s="16">
        <v>809</v>
      </c>
      <c r="F608" s="16">
        <v>0</v>
      </c>
    </row>
    <row r="609" spans="1:6" x14ac:dyDescent="0.2">
      <c r="A609" s="16">
        <v>27.25</v>
      </c>
      <c r="B609" s="16">
        <v>0.28999999999999998</v>
      </c>
      <c r="C609" s="16">
        <v>0.125</v>
      </c>
      <c r="D609" s="16">
        <v>272</v>
      </c>
      <c r="E609" s="16">
        <v>108</v>
      </c>
      <c r="F609" s="16">
        <v>0</v>
      </c>
    </row>
    <row r="610" spans="1:6" x14ac:dyDescent="0.2">
      <c r="A610" s="16">
        <v>38.75</v>
      </c>
      <c r="B610" s="16">
        <v>1.5</v>
      </c>
      <c r="C610" s="16">
        <v>0</v>
      </c>
      <c r="D610" s="16">
        <v>76</v>
      </c>
      <c r="E610" s="16">
        <v>0</v>
      </c>
      <c r="F610" s="16">
        <v>0</v>
      </c>
    </row>
    <row r="611" spans="1:6" x14ac:dyDescent="0.2">
      <c r="A611" s="16">
        <v>32.42</v>
      </c>
      <c r="B611" s="16">
        <v>2.165</v>
      </c>
      <c r="C611" s="16">
        <v>0</v>
      </c>
      <c r="D611" s="16">
        <v>120</v>
      </c>
      <c r="E611" s="16">
        <v>0</v>
      </c>
      <c r="F611" s="16">
        <v>0</v>
      </c>
    </row>
    <row r="612" spans="1:6" x14ac:dyDescent="0.2">
      <c r="A612" s="16">
        <v>23.75</v>
      </c>
      <c r="B612" s="16">
        <v>0.71</v>
      </c>
      <c r="C612" s="16">
        <v>0.25</v>
      </c>
      <c r="D612" s="16">
        <v>240</v>
      </c>
      <c r="E612" s="16">
        <v>4</v>
      </c>
      <c r="F612" s="16">
        <v>0</v>
      </c>
    </row>
    <row r="613" spans="1:6" x14ac:dyDescent="0.2">
      <c r="A613" s="16">
        <v>18.170000000000002</v>
      </c>
      <c r="B613" s="16">
        <v>2.46</v>
      </c>
      <c r="C613" s="16">
        <v>0.96</v>
      </c>
      <c r="D613" s="16">
        <v>160</v>
      </c>
      <c r="E613" s="16">
        <v>587</v>
      </c>
      <c r="F613" s="16">
        <v>0</v>
      </c>
    </row>
    <row r="614" spans="1:6" x14ac:dyDescent="0.2">
      <c r="A614" s="16">
        <v>40.92</v>
      </c>
      <c r="B614" s="16">
        <v>0.5</v>
      </c>
      <c r="C614" s="16">
        <v>0.5</v>
      </c>
      <c r="D614" s="16">
        <v>130</v>
      </c>
      <c r="E614" s="16">
        <v>0</v>
      </c>
      <c r="F614" s="16">
        <v>0</v>
      </c>
    </row>
    <row r="615" spans="1:6" x14ac:dyDescent="0.2">
      <c r="A615" s="16">
        <v>19.5</v>
      </c>
      <c r="B615" s="16">
        <v>9.5850000000000009</v>
      </c>
      <c r="C615" s="16">
        <v>0.79</v>
      </c>
      <c r="D615" s="16">
        <v>80</v>
      </c>
      <c r="E615" s="16">
        <v>350</v>
      </c>
      <c r="F615" s="16">
        <v>0</v>
      </c>
    </row>
    <row r="616" spans="1:6" x14ac:dyDescent="0.2">
      <c r="A616" s="16">
        <v>28.58</v>
      </c>
      <c r="B616" s="16">
        <v>3.625</v>
      </c>
      <c r="C616" s="16">
        <v>0.25</v>
      </c>
      <c r="D616" s="16">
        <v>100</v>
      </c>
      <c r="E616" s="16">
        <v>0</v>
      </c>
      <c r="F616" s="16">
        <v>0</v>
      </c>
    </row>
    <row r="617" spans="1:6" x14ac:dyDescent="0.2">
      <c r="A617" s="16">
        <v>35.58</v>
      </c>
      <c r="B617" s="16">
        <v>0.75</v>
      </c>
      <c r="C617" s="16">
        <v>1.5</v>
      </c>
      <c r="D617" s="16">
        <v>231</v>
      </c>
      <c r="E617" s="16">
        <v>0</v>
      </c>
      <c r="F617" s="16">
        <v>0</v>
      </c>
    </row>
    <row r="618" spans="1:6" x14ac:dyDescent="0.2">
      <c r="A618" s="16">
        <v>34.17</v>
      </c>
      <c r="B618" s="16">
        <v>2.75</v>
      </c>
      <c r="C618" s="16">
        <v>2.5</v>
      </c>
      <c r="D618" s="16">
        <v>232</v>
      </c>
      <c r="E618" s="16">
        <v>200</v>
      </c>
      <c r="F618" s="16">
        <v>0</v>
      </c>
    </row>
    <row r="619" spans="1:6" x14ac:dyDescent="0.2">
      <c r="A619" s="16">
        <v>33.17</v>
      </c>
      <c r="B619" s="16">
        <v>2.25</v>
      </c>
      <c r="C619" s="16">
        <v>3.5</v>
      </c>
      <c r="D619" s="16">
        <v>200</v>
      </c>
      <c r="E619" s="16">
        <v>141</v>
      </c>
      <c r="F619" s="16">
        <v>0</v>
      </c>
    </row>
    <row r="620" spans="1:6" x14ac:dyDescent="0.2">
      <c r="A620" s="16">
        <v>31.58</v>
      </c>
      <c r="B620" s="16">
        <v>0.75</v>
      </c>
      <c r="C620" s="16">
        <v>3.5</v>
      </c>
      <c r="D620" s="16">
        <v>320</v>
      </c>
      <c r="E620" s="16">
        <v>0</v>
      </c>
      <c r="F620" s="16">
        <v>0</v>
      </c>
    </row>
    <row r="621" spans="1:6" x14ac:dyDescent="0.2">
      <c r="A621" s="16">
        <v>52.5</v>
      </c>
      <c r="B621" s="16">
        <v>7</v>
      </c>
      <c r="C621" s="16">
        <v>3</v>
      </c>
      <c r="D621" s="16">
        <v>0</v>
      </c>
      <c r="E621" s="16">
        <v>0</v>
      </c>
      <c r="F621" s="16">
        <v>0</v>
      </c>
    </row>
    <row r="622" spans="1:6" x14ac:dyDescent="0.2">
      <c r="A622" s="16">
        <v>36.17</v>
      </c>
      <c r="B622" s="16">
        <v>0.42</v>
      </c>
      <c r="C622" s="16">
        <v>0.28999999999999998</v>
      </c>
      <c r="D622" s="16">
        <v>309</v>
      </c>
      <c r="E622" s="16">
        <v>2</v>
      </c>
      <c r="F622" s="16">
        <v>0</v>
      </c>
    </row>
    <row r="623" spans="1:6" x14ac:dyDescent="0.2">
      <c r="A623" s="16">
        <v>37.33</v>
      </c>
      <c r="B623" s="16">
        <v>2.665</v>
      </c>
      <c r="C623" s="16">
        <v>0.16500000000000001</v>
      </c>
      <c r="D623" s="16">
        <v>0</v>
      </c>
      <c r="E623" s="16">
        <v>501</v>
      </c>
      <c r="F623" s="16">
        <v>0</v>
      </c>
    </row>
    <row r="624" spans="1:6" x14ac:dyDescent="0.2">
      <c r="A624" s="16">
        <v>20.83</v>
      </c>
      <c r="B624" s="16">
        <v>8.5</v>
      </c>
      <c r="C624" s="16">
        <v>0.16500000000000001</v>
      </c>
      <c r="D624" s="16">
        <v>0</v>
      </c>
      <c r="E624" s="16">
        <v>351</v>
      </c>
      <c r="F624" s="16">
        <v>0</v>
      </c>
    </row>
    <row r="625" spans="1:6" x14ac:dyDescent="0.2">
      <c r="A625" s="16">
        <v>24.08</v>
      </c>
      <c r="B625" s="16">
        <v>9</v>
      </c>
      <c r="C625" s="16">
        <v>0.25</v>
      </c>
      <c r="D625" s="16">
        <v>0</v>
      </c>
      <c r="E625" s="16">
        <v>0</v>
      </c>
      <c r="F625" s="16">
        <v>0</v>
      </c>
    </row>
    <row r="626" spans="1:6" x14ac:dyDescent="0.2">
      <c r="A626" s="16">
        <v>25.58</v>
      </c>
      <c r="B626" s="16">
        <v>0.33500000000000002</v>
      </c>
      <c r="C626" s="16">
        <v>3.5</v>
      </c>
      <c r="D626" s="16">
        <v>340</v>
      </c>
      <c r="E626" s="16">
        <v>0</v>
      </c>
      <c r="F626" s="16">
        <v>0</v>
      </c>
    </row>
    <row r="627" spans="1:6" x14ac:dyDescent="0.2">
      <c r="A627" s="16">
        <v>35.17</v>
      </c>
      <c r="B627" s="16">
        <v>3.75</v>
      </c>
      <c r="C627" s="16">
        <v>0</v>
      </c>
      <c r="D627" s="16">
        <v>0</v>
      </c>
      <c r="E627" s="16">
        <v>200</v>
      </c>
      <c r="F627" s="16">
        <v>0</v>
      </c>
    </row>
    <row r="628" spans="1:6" x14ac:dyDescent="0.2">
      <c r="A628" s="16">
        <v>48.08</v>
      </c>
      <c r="B628" s="16">
        <v>3.75</v>
      </c>
      <c r="C628" s="16">
        <v>1</v>
      </c>
      <c r="D628" s="16">
        <v>100</v>
      </c>
      <c r="E628" s="16">
        <v>2</v>
      </c>
      <c r="F628" s="16">
        <v>0</v>
      </c>
    </row>
    <row r="629" spans="1:6" x14ac:dyDescent="0.2">
      <c r="A629" s="16">
        <v>15.83</v>
      </c>
      <c r="B629" s="16">
        <v>7.625</v>
      </c>
      <c r="C629" s="16">
        <v>0.125</v>
      </c>
      <c r="D629" s="16">
        <v>0</v>
      </c>
      <c r="E629" s="16">
        <v>160</v>
      </c>
      <c r="F629" s="16">
        <v>0</v>
      </c>
    </row>
    <row r="630" spans="1:6" x14ac:dyDescent="0.2">
      <c r="A630" s="16">
        <v>22.5</v>
      </c>
      <c r="B630" s="16">
        <v>0.41499999999999998</v>
      </c>
      <c r="C630" s="16">
        <v>0.33500000000000002</v>
      </c>
      <c r="D630" s="16">
        <v>144</v>
      </c>
      <c r="E630" s="16">
        <v>0</v>
      </c>
      <c r="F630" s="16">
        <v>0</v>
      </c>
    </row>
    <row r="631" spans="1:6" x14ac:dyDescent="0.2">
      <c r="A631" s="16">
        <v>21.5</v>
      </c>
      <c r="B631" s="16">
        <v>11.5</v>
      </c>
      <c r="C631" s="16">
        <v>0.5</v>
      </c>
      <c r="D631" s="16">
        <v>100</v>
      </c>
      <c r="E631" s="16">
        <v>68</v>
      </c>
      <c r="F631" s="16">
        <v>0</v>
      </c>
    </row>
    <row r="632" spans="1:6" x14ac:dyDescent="0.2">
      <c r="A632" s="16">
        <v>23.58</v>
      </c>
      <c r="B632" s="16">
        <v>0.83</v>
      </c>
      <c r="C632" s="16">
        <v>0.41499999999999998</v>
      </c>
      <c r="D632" s="16">
        <v>200</v>
      </c>
      <c r="E632" s="16">
        <v>11</v>
      </c>
      <c r="F632" s="16">
        <v>0</v>
      </c>
    </row>
    <row r="633" spans="1:6" x14ac:dyDescent="0.2">
      <c r="A633" s="16">
        <v>21.08</v>
      </c>
      <c r="B633" s="16">
        <v>5</v>
      </c>
      <c r="C633" s="16">
        <v>0</v>
      </c>
      <c r="D633" s="16">
        <v>0</v>
      </c>
      <c r="E633" s="16">
        <v>0</v>
      </c>
      <c r="F633" s="16">
        <v>0</v>
      </c>
    </row>
    <row r="634" spans="1:6" x14ac:dyDescent="0.2">
      <c r="A634" s="16">
        <v>25.67</v>
      </c>
      <c r="B634" s="16">
        <v>3.25</v>
      </c>
      <c r="C634" s="16">
        <v>2.29</v>
      </c>
      <c r="D634" s="16">
        <v>416</v>
      </c>
      <c r="E634" s="16">
        <v>21</v>
      </c>
      <c r="F634" s="16">
        <v>0</v>
      </c>
    </row>
    <row r="635" spans="1:6" x14ac:dyDescent="0.2">
      <c r="A635" s="16">
        <v>38.92</v>
      </c>
      <c r="B635" s="16">
        <v>1.665</v>
      </c>
      <c r="C635" s="16">
        <v>0.25</v>
      </c>
      <c r="D635" s="16">
        <v>0</v>
      </c>
      <c r="E635" s="16">
        <v>390</v>
      </c>
      <c r="F635" s="16">
        <v>0</v>
      </c>
    </row>
    <row r="636" spans="1:6" x14ac:dyDescent="0.2">
      <c r="A636" s="16">
        <v>15.75</v>
      </c>
      <c r="B636" s="16">
        <v>0.375</v>
      </c>
      <c r="C636" s="16">
        <v>1</v>
      </c>
      <c r="D636" s="16">
        <v>120</v>
      </c>
      <c r="E636" s="16">
        <v>18</v>
      </c>
      <c r="F636" s="16">
        <v>0</v>
      </c>
    </row>
    <row r="637" spans="1:6" x14ac:dyDescent="0.2">
      <c r="A637" s="16">
        <v>28.58</v>
      </c>
      <c r="B637" s="16">
        <v>3.75</v>
      </c>
      <c r="C637" s="16">
        <v>0.25</v>
      </c>
      <c r="D637" s="16">
        <v>40</v>
      </c>
      <c r="E637" s="16">
        <v>154</v>
      </c>
      <c r="F637" s="16">
        <v>0</v>
      </c>
    </row>
    <row r="638" spans="1:6" x14ac:dyDescent="0.2">
      <c r="A638" s="16">
        <v>22.25</v>
      </c>
      <c r="B638" s="16">
        <v>9</v>
      </c>
      <c r="C638" s="16">
        <v>8.5000000000000006E-2</v>
      </c>
      <c r="D638" s="16">
        <v>0</v>
      </c>
      <c r="E638" s="16">
        <v>0</v>
      </c>
      <c r="F638" s="16">
        <v>0</v>
      </c>
    </row>
    <row r="639" spans="1:6" x14ac:dyDescent="0.2">
      <c r="A639" s="16">
        <v>29.83</v>
      </c>
      <c r="B639" s="16">
        <v>3.5</v>
      </c>
      <c r="C639" s="16">
        <v>0.16500000000000001</v>
      </c>
      <c r="D639" s="16">
        <v>216</v>
      </c>
      <c r="E639" s="16">
        <v>0</v>
      </c>
      <c r="F639" s="16">
        <v>0</v>
      </c>
    </row>
    <row r="640" spans="1:6" x14ac:dyDescent="0.2">
      <c r="A640" s="16">
        <v>23.5</v>
      </c>
      <c r="B640" s="16">
        <v>1.5</v>
      </c>
      <c r="C640" s="16">
        <v>0.875</v>
      </c>
      <c r="D640" s="16">
        <v>160</v>
      </c>
      <c r="E640" s="16">
        <v>0</v>
      </c>
      <c r="F640" s="16">
        <v>0</v>
      </c>
    </row>
    <row r="641" spans="1:6" x14ac:dyDescent="0.2">
      <c r="A641" s="16">
        <v>32.08</v>
      </c>
      <c r="B641" s="16">
        <v>4</v>
      </c>
      <c r="C641" s="16">
        <v>1.5</v>
      </c>
      <c r="D641" s="16">
        <v>120</v>
      </c>
      <c r="E641" s="16">
        <v>0</v>
      </c>
      <c r="F641" s="16">
        <v>0</v>
      </c>
    </row>
    <row r="642" spans="1:6" x14ac:dyDescent="0.2">
      <c r="A642" s="16">
        <v>31.08</v>
      </c>
      <c r="B642" s="16">
        <v>1.5</v>
      </c>
      <c r="C642" s="16">
        <v>0.04</v>
      </c>
      <c r="D642" s="16">
        <v>160</v>
      </c>
      <c r="E642" s="16">
        <v>0</v>
      </c>
      <c r="F642" s="16">
        <v>0</v>
      </c>
    </row>
    <row r="643" spans="1:6" x14ac:dyDescent="0.2">
      <c r="A643" s="16">
        <v>31.83</v>
      </c>
      <c r="B643" s="16">
        <v>0.04</v>
      </c>
      <c r="C643" s="16">
        <v>0.04</v>
      </c>
      <c r="D643" s="16">
        <v>0</v>
      </c>
      <c r="E643" s="16">
        <v>0</v>
      </c>
      <c r="F643" s="16">
        <v>0</v>
      </c>
    </row>
    <row r="644" spans="1:6" x14ac:dyDescent="0.2">
      <c r="A644" s="16">
        <v>21.75</v>
      </c>
      <c r="B644" s="16">
        <v>11.75</v>
      </c>
      <c r="C644" s="16">
        <v>0.25</v>
      </c>
      <c r="D644" s="16">
        <v>180</v>
      </c>
      <c r="E644" s="16">
        <v>0</v>
      </c>
      <c r="F644" s="16">
        <v>0</v>
      </c>
    </row>
    <row r="645" spans="1:6" x14ac:dyDescent="0.2">
      <c r="A645" s="16">
        <v>17.920000000000002</v>
      </c>
      <c r="B645" s="16">
        <v>0.54</v>
      </c>
      <c r="C645" s="16">
        <v>1.75</v>
      </c>
      <c r="D645" s="16">
        <v>80</v>
      </c>
      <c r="E645" s="16">
        <v>5</v>
      </c>
      <c r="F645" s="16">
        <v>0</v>
      </c>
    </row>
    <row r="646" spans="1:6" x14ac:dyDescent="0.2">
      <c r="A646" s="16">
        <v>30.33</v>
      </c>
      <c r="B646" s="16">
        <v>0.5</v>
      </c>
      <c r="C646" s="16">
        <v>8.5000000000000006E-2</v>
      </c>
      <c r="D646" s="16">
        <v>252</v>
      </c>
      <c r="E646" s="16">
        <v>0</v>
      </c>
      <c r="F646" s="16">
        <v>0</v>
      </c>
    </row>
    <row r="647" spans="1:6" x14ac:dyDescent="0.2">
      <c r="A647" s="16">
        <v>51.83</v>
      </c>
      <c r="B647" s="16">
        <v>2.04</v>
      </c>
      <c r="C647" s="16">
        <v>1.5</v>
      </c>
      <c r="D647" s="16">
        <v>120</v>
      </c>
      <c r="E647" s="16">
        <v>1</v>
      </c>
      <c r="F647" s="16">
        <v>0</v>
      </c>
    </row>
    <row r="648" spans="1:6" x14ac:dyDescent="0.2">
      <c r="A648" s="16">
        <v>47.17</v>
      </c>
      <c r="B648" s="16">
        <v>5.835</v>
      </c>
      <c r="C648" s="16">
        <v>5.5</v>
      </c>
      <c r="D648" s="16">
        <v>465</v>
      </c>
      <c r="E648" s="16">
        <v>150</v>
      </c>
      <c r="F648" s="16">
        <v>0</v>
      </c>
    </row>
    <row r="649" spans="1:6" x14ac:dyDescent="0.2">
      <c r="A649" s="16">
        <v>25.83</v>
      </c>
      <c r="B649" s="16">
        <v>12.835000000000001</v>
      </c>
      <c r="C649" s="16">
        <v>0.5</v>
      </c>
      <c r="D649" s="16">
        <v>0</v>
      </c>
      <c r="E649" s="16">
        <v>2</v>
      </c>
      <c r="F649" s="16">
        <v>0</v>
      </c>
    </row>
    <row r="650" spans="1:6" x14ac:dyDescent="0.2">
      <c r="A650" s="16">
        <v>50.25</v>
      </c>
      <c r="B650" s="16">
        <v>0.83499999999999996</v>
      </c>
      <c r="C650" s="16">
        <v>0.5</v>
      </c>
      <c r="D650" s="16">
        <v>240</v>
      </c>
      <c r="E650" s="16">
        <v>117</v>
      </c>
      <c r="F650" s="16">
        <v>0</v>
      </c>
    </row>
    <row r="651" spans="1:6" x14ac:dyDescent="0.2">
      <c r="A651" s="16">
        <v>29.5</v>
      </c>
      <c r="B651" s="16">
        <v>2</v>
      </c>
      <c r="C651" s="16">
        <v>2</v>
      </c>
      <c r="D651" s="16">
        <v>256</v>
      </c>
      <c r="E651" s="16">
        <v>17</v>
      </c>
      <c r="F651" s="16">
        <v>0</v>
      </c>
    </row>
    <row r="652" spans="1:6" x14ac:dyDescent="0.2">
      <c r="A652" s="16">
        <v>37.33</v>
      </c>
      <c r="B652" s="16">
        <v>2.5</v>
      </c>
      <c r="C652" s="16">
        <v>0.21</v>
      </c>
      <c r="D652" s="16">
        <v>260</v>
      </c>
      <c r="E652" s="16">
        <v>246</v>
      </c>
      <c r="F652" s="16">
        <v>0</v>
      </c>
    </row>
    <row r="653" spans="1:6" x14ac:dyDescent="0.2">
      <c r="A653" s="16">
        <v>41.58</v>
      </c>
      <c r="B653" s="16">
        <v>1.04</v>
      </c>
      <c r="C653" s="16">
        <v>0.66500000000000004</v>
      </c>
      <c r="D653" s="16">
        <v>240</v>
      </c>
      <c r="E653" s="16">
        <v>237</v>
      </c>
      <c r="F653" s="16">
        <v>0</v>
      </c>
    </row>
    <row r="654" spans="1:6" x14ac:dyDescent="0.2">
      <c r="A654" s="16">
        <v>30.58</v>
      </c>
      <c r="B654" s="16">
        <v>10.664999999999999</v>
      </c>
      <c r="C654" s="16">
        <v>8.5000000000000006E-2</v>
      </c>
      <c r="D654" s="16">
        <v>129</v>
      </c>
      <c r="E654" s="16">
        <v>3</v>
      </c>
      <c r="F654" s="16">
        <v>0</v>
      </c>
    </row>
    <row r="655" spans="1:6" x14ac:dyDescent="0.2">
      <c r="A655" s="16">
        <v>19.420000000000002</v>
      </c>
      <c r="B655" s="16">
        <v>7.25</v>
      </c>
      <c r="C655" s="16">
        <v>0.04</v>
      </c>
      <c r="D655" s="16">
        <v>100</v>
      </c>
      <c r="E655" s="16">
        <v>1</v>
      </c>
      <c r="F655" s="16">
        <v>0</v>
      </c>
    </row>
    <row r="656" spans="1:6" x14ac:dyDescent="0.2">
      <c r="A656" s="16">
        <v>17.920000000000002</v>
      </c>
      <c r="B656" s="16">
        <v>10.210000000000001</v>
      </c>
      <c r="C656" s="16">
        <v>0</v>
      </c>
      <c r="D656" s="16">
        <v>0</v>
      </c>
      <c r="E656" s="16">
        <v>50</v>
      </c>
      <c r="F656" s="16">
        <v>0</v>
      </c>
    </row>
    <row r="657" spans="1:6" x14ac:dyDescent="0.2">
      <c r="A657" s="16">
        <v>20.079999999999998</v>
      </c>
      <c r="B657" s="16">
        <v>1.25</v>
      </c>
      <c r="C657" s="16">
        <v>0</v>
      </c>
      <c r="D657" s="16">
        <v>0</v>
      </c>
      <c r="E657" s="16">
        <v>0</v>
      </c>
      <c r="F657" s="16">
        <v>0</v>
      </c>
    </row>
    <row r="658" spans="1:6" x14ac:dyDescent="0.2">
      <c r="A658" s="16">
        <v>19.5</v>
      </c>
      <c r="B658" s="16">
        <v>0.28999999999999998</v>
      </c>
      <c r="C658" s="16">
        <v>0.28999999999999998</v>
      </c>
      <c r="D658" s="16">
        <v>280</v>
      </c>
      <c r="E658" s="16">
        <v>364</v>
      </c>
      <c r="F658" s="16">
        <v>0</v>
      </c>
    </row>
    <row r="659" spans="1:6" x14ac:dyDescent="0.2">
      <c r="A659" s="16">
        <v>27.83</v>
      </c>
      <c r="B659" s="16">
        <v>1</v>
      </c>
      <c r="C659" s="16">
        <v>3</v>
      </c>
      <c r="D659" s="16">
        <v>176</v>
      </c>
      <c r="E659" s="16">
        <v>537</v>
      </c>
      <c r="F659" s="16">
        <v>0</v>
      </c>
    </row>
    <row r="660" spans="1:6" x14ac:dyDescent="0.2">
      <c r="A660" s="16">
        <v>17.079999999999998</v>
      </c>
      <c r="B660" s="16">
        <v>3.29</v>
      </c>
      <c r="C660" s="16">
        <v>0.33500000000000002</v>
      </c>
      <c r="D660" s="16">
        <v>140</v>
      </c>
      <c r="E660" s="16">
        <v>2</v>
      </c>
      <c r="F660" s="16">
        <v>0</v>
      </c>
    </row>
    <row r="661" spans="1:6" x14ac:dyDescent="0.2">
      <c r="A661" s="16">
        <v>36.42</v>
      </c>
      <c r="B661" s="16">
        <v>0.75</v>
      </c>
      <c r="C661" s="16">
        <v>0.58499999999999996</v>
      </c>
      <c r="D661" s="16">
        <v>240</v>
      </c>
      <c r="E661" s="16">
        <v>3</v>
      </c>
      <c r="F661" s="16">
        <v>0</v>
      </c>
    </row>
    <row r="662" spans="1:6" x14ac:dyDescent="0.2">
      <c r="A662" s="16">
        <v>40.58</v>
      </c>
      <c r="B662" s="16">
        <v>3.29</v>
      </c>
      <c r="C662" s="16">
        <v>3.5</v>
      </c>
      <c r="D662" s="16">
        <v>400</v>
      </c>
      <c r="E662" s="16">
        <v>0</v>
      </c>
      <c r="F662" s="16">
        <v>0</v>
      </c>
    </row>
    <row r="663" spans="1:6" x14ac:dyDescent="0.2">
      <c r="A663" s="16">
        <v>21.08</v>
      </c>
      <c r="B663" s="16">
        <v>10.085000000000001</v>
      </c>
      <c r="C663" s="16">
        <v>1.25</v>
      </c>
      <c r="D663" s="16">
        <v>260</v>
      </c>
      <c r="E663" s="16">
        <v>0</v>
      </c>
      <c r="F663" s="16">
        <v>0</v>
      </c>
    </row>
    <row r="664" spans="1:6" x14ac:dyDescent="0.2">
      <c r="A664" s="16">
        <v>22.67</v>
      </c>
      <c r="B664" s="16">
        <v>0.75</v>
      </c>
      <c r="C664" s="16">
        <v>2</v>
      </c>
      <c r="D664" s="16">
        <v>200</v>
      </c>
      <c r="E664" s="16">
        <v>394</v>
      </c>
      <c r="F664" s="16">
        <v>0</v>
      </c>
    </row>
    <row r="665" spans="1:6" x14ac:dyDescent="0.2">
      <c r="A665" s="16">
        <v>25.25</v>
      </c>
      <c r="B665" s="16">
        <v>13.5</v>
      </c>
      <c r="C665" s="16">
        <v>2</v>
      </c>
      <c r="D665" s="16">
        <v>200</v>
      </c>
      <c r="E665" s="16">
        <v>1</v>
      </c>
      <c r="F665" s="16">
        <v>0</v>
      </c>
    </row>
    <row r="666" spans="1:6" x14ac:dyDescent="0.2">
      <c r="A666" s="16">
        <v>17.920000000000002</v>
      </c>
      <c r="B666" s="16">
        <v>0.20499999999999999</v>
      </c>
      <c r="C666" s="16">
        <v>0.04</v>
      </c>
      <c r="D666" s="16">
        <v>280</v>
      </c>
      <c r="E666" s="16">
        <v>750</v>
      </c>
      <c r="F666" s="16">
        <v>0</v>
      </c>
    </row>
    <row r="667" spans="1:6" x14ac:dyDescent="0.2">
      <c r="A667" s="16">
        <v>35</v>
      </c>
      <c r="B667" s="16">
        <v>3.375</v>
      </c>
      <c r="C667" s="16">
        <v>8.2899999999999991</v>
      </c>
      <c r="D667" s="16">
        <v>0</v>
      </c>
      <c r="E667" s="16">
        <v>0</v>
      </c>
      <c r="F667" s="16">
        <v>0</v>
      </c>
    </row>
    <row r="668" spans="1:6" x14ac:dyDescent="0.2">
      <c r="F668" s="4">
        <f>SUM(F18:F667)</f>
        <v>287</v>
      </c>
    </row>
  </sheetData>
  <sheetProtection sheet="1" objects="1" scenarios="1"/>
  <conditionalFormatting sqref="J22:J42">
    <cfRule type="cellIs" dxfId="3" priority="3" operator="lessThan">
      <formula>0</formula>
    </cfRule>
  </conditionalFormatting>
  <conditionalFormatting sqref="J11:J38">
    <cfRule type="cellIs" dxfId="2" priority="2" operator="lessThan">
      <formula>0</formula>
    </cfRule>
  </conditionalFormatting>
  <conditionalFormatting sqref="J10:J50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9A4F0-F755-F744-9A96-8D95C3773BA5}">
  <sheetPr codeName="Sheet2"/>
  <dimension ref="A1:Q668"/>
  <sheetViews>
    <sheetView workbookViewId="0">
      <selection activeCell="L12" sqref="L12"/>
    </sheetView>
  </sheetViews>
  <sheetFormatPr baseColWidth="10" defaultRowHeight="16" x14ac:dyDescent="0.2"/>
  <cols>
    <col min="1" max="1" width="13" customWidth="1"/>
    <col min="2" max="3" width="20.83203125" customWidth="1"/>
    <col min="5" max="6" width="18" customWidth="1"/>
    <col min="7" max="7" width="16.1640625" customWidth="1"/>
    <col min="8" max="8" width="15.1640625" customWidth="1"/>
  </cols>
  <sheetData>
    <row r="1" spans="1:17" x14ac:dyDescent="0.2">
      <c r="A1" s="2" t="s">
        <v>10</v>
      </c>
      <c r="B1" s="2" t="s">
        <v>15</v>
      </c>
      <c r="C1" s="2" t="s">
        <v>11</v>
      </c>
      <c r="D1" s="2" t="s">
        <v>12</v>
      </c>
      <c r="E1" s="2" t="s">
        <v>16</v>
      </c>
      <c r="F1" s="2" t="s">
        <v>13</v>
      </c>
      <c r="G1" s="2" t="s">
        <v>20</v>
      </c>
      <c r="H1" s="2" t="s">
        <v>14</v>
      </c>
      <c r="L1" t="s">
        <v>23</v>
      </c>
      <c r="M1" t="s">
        <v>24</v>
      </c>
      <c r="N1" t="s">
        <v>25</v>
      </c>
      <c r="O1" t="s">
        <v>26</v>
      </c>
      <c r="P1" t="s">
        <v>27</v>
      </c>
      <c r="Q1" t="s">
        <v>28</v>
      </c>
    </row>
    <row r="2" spans="1:17" x14ac:dyDescent="0.2">
      <c r="A2" s="2">
        <f>$L$2+SUMPRODUCT($M$2:$Q$2,Training_Data!A2:E2)</f>
        <v>917.59700000000009</v>
      </c>
      <c r="B2" s="2">
        <f>IF(A2&lt;-100,-100,A2)</f>
        <v>917.59700000000009</v>
      </c>
      <c r="C2" s="2">
        <f>IF(B2&gt;100,100,B2)</f>
        <v>100</v>
      </c>
      <c r="D2" s="2">
        <f>1/(1+EXP(-C2))</f>
        <v>1</v>
      </c>
      <c r="E2" s="2">
        <f>IF(D2&lt;0.01,0.01,D2)</f>
        <v>1</v>
      </c>
      <c r="F2" s="2">
        <f>IF(E2&gt;0.99,0.99, E2)</f>
        <v>0.99</v>
      </c>
      <c r="G2" s="2">
        <f>IF(F2&gt;0.5,1,0)</f>
        <v>1</v>
      </c>
      <c r="H2" s="2">
        <f>IF(G2=Training_Data!F2,1,0)</f>
        <v>1</v>
      </c>
      <c r="L2">
        <v>4.7</v>
      </c>
      <c r="M2">
        <v>-0.9</v>
      </c>
      <c r="N2">
        <v>2.2000000000000002</v>
      </c>
      <c r="O2">
        <v>1.8</v>
      </c>
      <c r="P2">
        <v>1.3</v>
      </c>
      <c r="Q2">
        <v>3.2</v>
      </c>
    </row>
    <row r="3" spans="1:17" x14ac:dyDescent="0.2">
      <c r="A3" s="2">
        <f>$L$2+SUMPRODUCT($M$2:$Q$2,Training_Data!A3:E3)</f>
        <v>87.174999999999997</v>
      </c>
      <c r="B3" s="2">
        <f t="shared" ref="B3:B66" si="0">IF(A3&lt;-100,-100,A3)</f>
        <v>87.174999999999997</v>
      </c>
      <c r="C3" s="2">
        <f t="shared" ref="C3:C66" si="1">IF(B3&gt;100,100,B3)</f>
        <v>87.174999999999997</v>
      </c>
      <c r="D3" s="2">
        <f t="shared" ref="D3:D66" si="2">1/(1+EXP(-C3))</f>
        <v>1</v>
      </c>
      <c r="E3" s="2">
        <f t="shared" ref="E3:E66" si="3">IF(D3&lt;0.01,0.01,D3)</f>
        <v>1</v>
      </c>
      <c r="F3" s="2">
        <f t="shared" ref="F3:F66" si="4">IF(E3&gt;0.99,0.99, E3)</f>
        <v>0.99</v>
      </c>
      <c r="G3" s="2">
        <f t="shared" ref="G3:G66" si="5">IF(F3&gt;0.5,1,0)</f>
        <v>1</v>
      </c>
      <c r="H3" s="2">
        <f>IF(G3=Training_Data!F3,1,0)</f>
        <v>1</v>
      </c>
      <c r="L3" s="1" t="s">
        <v>29</v>
      </c>
      <c r="M3" s="1" t="s">
        <v>30</v>
      </c>
      <c r="N3" s="1" t="s">
        <v>31</v>
      </c>
      <c r="O3" s="1" t="s">
        <v>32</v>
      </c>
      <c r="P3" s="1" t="s">
        <v>33</v>
      </c>
      <c r="Q3" s="1" t="s">
        <v>34</v>
      </c>
    </row>
    <row r="4" spans="1:17" x14ac:dyDescent="0.2">
      <c r="A4" s="2">
        <f>$L$2+SUMPRODUCT($M$2:$Q$2,Training_Data!A4:E4)</f>
        <v>242.82499999999999</v>
      </c>
      <c r="B4" s="2">
        <f t="shared" si="0"/>
        <v>242.82499999999999</v>
      </c>
      <c r="C4" s="2">
        <f t="shared" si="1"/>
        <v>100</v>
      </c>
      <c r="D4" s="2">
        <f t="shared" si="2"/>
        <v>1</v>
      </c>
      <c r="E4" s="2">
        <f t="shared" si="3"/>
        <v>1</v>
      </c>
      <c r="F4" s="2">
        <f t="shared" si="4"/>
        <v>0.99</v>
      </c>
      <c r="G4" s="2">
        <f t="shared" si="5"/>
        <v>1</v>
      </c>
      <c r="H4" s="2">
        <f>IF(G4=Training_Data!F4,1,0)</f>
        <v>1</v>
      </c>
      <c r="L4" s="1">
        <f>(SUM(D2:D667)-SUM(Training_Data!F2:F667))/666</f>
        <v>0.49420481626868662</v>
      </c>
      <c r="M4" s="1" cm="1">
        <f t="array" ref="M4">SUMPRODUCT(($D2:$D667-Training_Data!$F2:$F667),Training_Data!A2:A667)/666</f>
        <v>14.298555728583663</v>
      </c>
      <c r="N4" s="1" cm="1">
        <f t="array" ref="N4">SUMPRODUCT(($D2:$D667-Training_Data!$F2:$F667),Training_Data!B2:B667)/666</f>
        <v>1.8957889044590266</v>
      </c>
      <c r="O4" s="1" cm="1">
        <f t="array" ref="O4">SUMPRODUCT(($D2:$D667-Training_Data!$F2:$F667),Training_Data!C2:C667)/666</f>
        <v>0.49024848168783214</v>
      </c>
      <c r="P4" s="1" cm="1">
        <f t="array" ref="P4">SUMPRODUCT(($D2:$D667-Training_Data!$F2:$F667),Training_Data!D2:D667)/666</f>
        <v>108.24012290517692</v>
      </c>
      <c r="Q4" s="1" cm="1">
        <f t="array" ref="Q4">SUMPRODUCT(($D2:$D667-Training_Data!$F2:$F667),Training_Data!E2:E667)/666</f>
        <v>103.18598134362995</v>
      </c>
    </row>
    <row r="5" spans="1:17" x14ac:dyDescent="0.2">
      <c r="A5" s="2">
        <f>$L$2+SUMPRODUCT($M$2:$Q$2,Training_Data!A5:E5)</f>
        <v>2678.16</v>
      </c>
      <c r="B5" s="2">
        <f t="shared" si="0"/>
        <v>2678.16</v>
      </c>
      <c r="C5" s="2">
        <f t="shared" si="1"/>
        <v>100</v>
      </c>
      <c r="D5" s="2">
        <f t="shared" si="2"/>
        <v>1</v>
      </c>
      <c r="E5" s="2">
        <f t="shared" si="3"/>
        <v>1</v>
      </c>
      <c r="F5" s="2">
        <f t="shared" si="4"/>
        <v>0.99</v>
      </c>
      <c r="G5" s="2">
        <f t="shared" si="5"/>
        <v>1</v>
      </c>
      <c r="H5" s="2">
        <f>IF(G5=Training_Data!F5,1,0)</f>
        <v>1</v>
      </c>
      <c r="L5" s="1" t="s">
        <v>17</v>
      </c>
      <c r="M5" s="1" t="s">
        <v>18</v>
      </c>
      <c r="N5" s="1" cm="1">
        <f t="array" ref="N5">SUMPRODUCT(($D3:$D668-Training_Data!$F3:$F668),Training_Data!B3:B668)/666</f>
        <v>1.8957889044590266</v>
      </c>
      <c r="O5" s="1" cm="1">
        <f t="array" ref="O5">SUMPRODUCT(($D3:$D668-Training_Data!$F3:$F668),Training_Data!C3:C668)/666</f>
        <v>0.49024848168783214</v>
      </c>
      <c r="P5" s="1" cm="1">
        <f t="array" ref="P5">SUMPRODUCT(($D3:$D668-Training_Data!$F3:$F668),Training_Data!D3:D668)/666</f>
        <v>108.24012290517692</v>
      </c>
      <c r="Q5" s="1" cm="1">
        <f t="array" ref="Q5">SUMPRODUCT(($D3:$D668-Training_Data!$F3:$F668),Training_Data!E3:E668)/666</f>
        <v>103.18598134362995</v>
      </c>
    </row>
    <row r="6" spans="1:17" x14ac:dyDescent="0.2">
      <c r="A6" s="2">
        <f>$L$2+SUMPRODUCT($M$2:$Q$2,Training_Data!A6:E6)</f>
        <v>1372.06</v>
      </c>
      <c r="B6" s="2">
        <f t="shared" si="0"/>
        <v>1372.06</v>
      </c>
      <c r="C6" s="2">
        <f t="shared" si="1"/>
        <v>100</v>
      </c>
      <c r="D6" s="2">
        <f t="shared" si="2"/>
        <v>1</v>
      </c>
      <c r="E6" s="2">
        <f t="shared" si="3"/>
        <v>1</v>
      </c>
      <c r="F6" s="2">
        <f t="shared" si="4"/>
        <v>0.99</v>
      </c>
      <c r="G6" s="2">
        <f t="shared" si="5"/>
        <v>1</v>
      </c>
      <c r="H6" s="2">
        <f>IF(G6=Training_Data!F6,1,0)</f>
        <v>1</v>
      </c>
      <c r="L6" s="1">
        <f>L2-L4*Training_Data!$J$2</f>
        <v>4.6975289759186571</v>
      </c>
      <c r="M6" s="1">
        <f>M2-M4*Training_Data!$J$2</f>
        <v>-0.97149277864291839</v>
      </c>
      <c r="N6" s="1">
        <f>N2-N4*Training_Data!$J$2</f>
        <v>2.190521055477705</v>
      </c>
      <c r="O6" s="1">
        <f>O2-O4*Training_Data!$J$2</f>
        <v>1.797548757591561</v>
      </c>
      <c r="P6" s="1">
        <f>P2-P4*Training_Data!$J$2</f>
        <v>0.75879938547411541</v>
      </c>
      <c r="Q6" s="1">
        <f>Q2-Q4*Training_Data!$J$2</f>
        <v>2.6840700932818504</v>
      </c>
    </row>
    <row r="7" spans="1:17" x14ac:dyDescent="0.2">
      <c r="A7" s="2">
        <f>$L$2+SUMPRODUCT($M$2:$Q$2,Training_Data!A7:E7)</f>
        <v>-8.9880000000000031</v>
      </c>
      <c r="B7" s="2">
        <f t="shared" si="0"/>
        <v>-8.9880000000000031</v>
      </c>
      <c r="C7" s="2">
        <f t="shared" si="1"/>
        <v>-8.9880000000000031</v>
      </c>
      <c r="D7" s="2">
        <f t="shared" si="2"/>
        <v>1.2488404491790665E-4</v>
      </c>
      <c r="E7" s="2">
        <f t="shared" si="3"/>
        <v>0.01</v>
      </c>
      <c r="F7" s="2">
        <f t="shared" si="4"/>
        <v>0.01</v>
      </c>
      <c r="G7" s="2">
        <f t="shared" si="5"/>
        <v>0</v>
      </c>
      <c r="H7" s="2">
        <f>IF(G7=Training_Data!F7,1,0)</f>
        <v>0</v>
      </c>
    </row>
    <row r="8" spans="1:17" x14ac:dyDescent="0.2">
      <c r="A8" s="2">
        <f>$L$2+SUMPRODUCT($M$2:$Q$2,Training_Data!A8:E8)</f>
        <v>153.76899999999998</v>
      </c>
      <c r="B8" s="2">
        <f t="shared" si="0"/>
        <v>153.76899999999998</v>
      </c>
      <c r="C8" s="2">
        <f t="shared" si="1"/>
        <v>100</v>
      </c>
      <c r="D8" s="2">
        <f t="shared" si="2"/>
        <v>1</v>
      </c>
      <c r="E8" s="2">
        <f t="shared" si="3"/>
        <v>1</v>
      </c>
      <c r="F8" s="2">
        <f t="shared" si="4"/>
        <v>0.99</v>
      </c>
      <c r="G8" s="2">
        <f t="shared" si="5"/>
        <v>1</v>
      </c>
      <c r="H8" s="2">
        <f>IF(G8=Training_Data!F8,1,0)</f>
        <v>1</v>
      </c>
    </row>
    <row r="9" spans="1:17" x14ac:dyDescent="0.2">
      <c r="A9" s="2">
        <f>$L$2+SUMPRODUCT($M$2:$Q$2,Training_Data!A9:E9)</f>
        <v>160656.10700000002</v>
      </c>
      <c r="B9" s="2">
        <f t="shared" si="0"/>
        <v>160656.10700000002</v>
      </c>
      <c r="C9" s="2">
        <f t="shared" si="1"/>
        <v>100</v>
      </c>
      <c r="D9" s="2">
        <f t="shared" si="2"/>
        <v>1</v>
      </c>
      <c r="E9" s="2">
        <f t="shared" si="3"/>
        <v>1</v>
      </c>
      <c r="F9" s="2">
        <f t="shared" si="4"/>
        <v>0.99</v>
      </c>
      <c r="G9" s="2">
        <f t="shared" si="5"/>
        <v>1</v>
      </c>
      <c r="H9" s="2">
        <f>IF(G9=Training_Data!F9,1,0)</f>
        <v>1</v>
      </c>
    </row>
    <row r="10" spans="1:17" x14ac:dyDescent="0.2">
      <c r="A10" s="2">
        <f>$L$2+SUMPRODUCT($M$2:$Q$2,Training_Data!A10:E10)</f>
        <v>1437.3000000000002</v>
      </c>
      <c r="B10" s="2">
        <f t="shared" si="0"/>
        <v>1437.3000000000002</v>
      </c>
      <c r="C10" s="2">
        <f t="shared" si="1"/>
        <v>100</v>
      </c>
      <c r="D10" s="2">
        <f t="shared" si="2"/>
        <v>1</v>
      </c>
      <c r="E10" s="2">
        <f t="shared" si="3"/>
        <v>1</v>
      </c>
      <c r="F10" s="2">
        <f t="shared" si="4"/>
        <v>0.99</v>
      </c>
      <c r="G10" s="2">
        <f t="shared" si="5"/>
        <v>1</v>
      </c>
      <c r="H10" s="2">
        <f>IF(G10=Training_Data!F10,1,0)</f>
        <v>1</v>
      </c>
    </row>
    <row r="11" spans="1:17" x14ac:dyDescent="0.2">
      <c r="A11" s="2">
        <f>$L$2+SUMPRODUCT($M$2:$Q$2,Training_Data!A11:E11)</f>
        <v>48666.625</v>
      </c>
      <c r="B11" s="2">
        <f t="shared" si="0"/>
        <v>48666.625</v>
      </c>
      <c r="C11" s="2">
        <f t="shared" si="1"/>
        <v>100</v>
      </c>
      <c r="D11" s="2">
        <f t="shared" si="2"/>
        <v>1</v>
      </c>
      <c r="E11" s="2">
        <f t="shared" si="3"/>
        <v>1</v>
      </c>
      <c r="F11" s="2">
        <f t="shared" si="4"/>
        <v>0.99</v>
      </c>
      <c r="G11" s="2">
        <f t="shared" si="5"/>
        <v>1</v>
      </c>
      <c r="H11" s="2">
        <f>IF(G11=Training_Data!F11,1,0)</f>
        <v>1</v>
      </c>
      <c r="L11" t="s">
        <v>7</v>
      </c>
    </row>
    <row r="12" spans="1:17" x14ac:dyDescent="0.2">
      <c r="A12" s="2">
        <f>$L$2+SUMPRODUCT($M$2:$Q$2,Training_Data!A12:E12)</f>
        <v>9560.9500000000025</v>
      </c>
      <c r="B12" s="2">
        <f t="shared" si="0"/>
        <v>9560.9500000000025</v>
      </c>
      <c r="C12" s="2">
        <f t="shared" si="1"/>
        <v>100</v>
      </c>
      <c r="D12" s="2">
        <f t="shared" si="2"/>
        <v>1</v>
      </c>
      <c r="E12" s="2">
        <f t="shared" si="3"/>
        <v>1</v>
      </c>
      <c r="F12" s="2">
        <f t="shared" si="4"/>
        <v>0.99</v>
      </c>
      <c r="G12" s="2">
        <f t="shared" si="5"/>
        <v>1</v>
      </c>
      <c r="H12" s="2">
        <f>IF(G12=Training_Data!F12,1,0)</f>
        <v>1</v>
      </c>
      <c r="L12" s="1" cm="1">
        <f t="array" ref="L12">-(SUMPRODUCT(Training_Data!F2:F667,LN(F2:F667))+SUMPRODUCT((1-Training_Data!F2:F667),LN(1-F2:F667)))/666</f>
        <v>2.5758782184650046</v>
      </c>
    </row>
    <row r="13" spans="1:17" x14ac:dyDescent="0.2">
      <c r="A13" s="2">
        <f>$L$2+SUMPRODUCT($M$2:$Q$2,Training_Data!A13:E13)</f>
        <v>2300.7469999999998</v>
      </c>
      <c r="B13" s="2">
        <f t="shared" si="0"/>
        <v>2300.7469999999998</v>
      </c>
      <c r="C13" s="2">
        <f t="shared" si="1"/>
        <v>100</v>
      </c>
      <c r="D13" s="2">
        <f t="shared" si="2"/>
        <v>1</v>
      </c>
      <c r="E13" s="2">
        <f t="shared" si="3"/>
        <v>1</v>
      </c>
      <c r="F13" s="2">
        <f t="shared" si="4"/>
        <v>0.99</v>
      </c>
      <c r="G13" s="2">
        <f t="shared" si="5"/>
        <v>1</v>
      </c>
      <c r="H13" s="2">
        <f>IF(G13=Training_Data!F13,1,0)</f>
        <v>1</v>
      </c>
    </row>
    <row r="14" spans="1:17" x14ac:dyDescent="0.2">
      <c r="A14" s="2">
        <f>$L$2+SUMPRODUCT($M$2:$Q$2,Training_Data!A14:E14)</f>
        <v>540.95600000000002</v>
      </c>
      <c r="B14" s="2">
        <f t="shared" si="0"/>
        <v>540.95600000000002</v>
      </c>
      <c r="C14" s="2">
        <f t="shared" si="1"/>
        <v>100</v>
      </c>
      <c r="D14" s="2">
        <f t="shared" si="2"/>
        <v>1</v>
      </c>
      <c r="E14" s="2">
        <f t="shared" si="3"/>
        <v>1</v>
      </c>
      <c r="F14" s="2">
        <f t="shared" si="4"/>
        <v>0.99</v>
      </c>
      <c r="G14" s="2">
        <f t="shared" si="5"/>
        <v>1</v>
      </c>
      <c r="H14" s="2">
        <f>IF(G14=Training_Data!F14,1,0)</f>
        <v>0</v>
      </c>
    </row>
    <row r="15" spans="1:17" x14ac:dyDescent="0.2">
      <c r="A15" s="2">
        <f>$L$2+SUMPRODUCT($M$2:$Q$2,Training_Data!A15:E15)</f>
        <v>1279.278</v>
      </c>
      <c r="B15" s="2">
        <f t="shared" si="0"/>
        <v>1279.278</v>
      </c>
      <c r="C15" s="2">
        <f t="shared" si="1"/>
        <v>100</v>
      </c>
      <c r="D15" s="2">
        <f t="shared" si="2"/>
        <v>1</v>
      </c>
      <c r="E15" s="2">
        <f t="shared" si="3"/>
        <v>1</v>
      </c>
      <c r="F15" s="2">
        <f t="shared" si="4"/>
        <v>0.99</v>
      </c>
      <c r="G15" s="2">
        <f t="shared" si="5"/>
        <v>1</v>
      </c>
      <c r="H15" s="2">
        <f>IF(G15=Training_Data!F15,1,0)</f>
        <v>0</v>
      </c>
    </row>
    <row r="16" spans="1:17" x14ac:dyDescent="0.2">
      <c r="A16" s="2">
        <f>$L$2+SUMPRODUCT($M$2:$Q$2,Training_Data!A16:E16)</f>
        <v>505.32499999999999</v>
      </c>
      <c r="B16" s="2">
        <f t="shared" si="0"/>
        <v>505.32499999999999</v>
      </c>
      <c r="C16" s="2">
        <f t="shared" si="1"/>
        <v>100</v>
      </c>
      <c r="D16" s="2">
        <f t="shared" si="2"/>
        <v>1</v>
      </c>
      <c r="E16" s="2">
        <f t="shared" si="3"/>
        <v>1</v>
      </c>
      <c r="F16" s="2">
        <f t="shared" si="4"/>
        <v>0.99</v>
      </c>
      <c r="G16" s="2">
        <f t="shared" si="5"/>
        <v>1</v>
      </c>
      <c r="H16" s="2">
        <f>IF(G16=Training_Data!F16,1,0)</f>
        <v>0</v>
      </c>
    </row>
    <row r="17" spans="1:8" x14ac:dyDescent="0.2">
      <c r="A17" s="2">
        <f>$L$2+SUMPRODUCT($M$2:$Q$2,Training_Data!A17:E17)</f>
        <v>197.078</v>
      </c>
      <c r="B17" s="2">
        <f t="shared" si="0"/>
        <v>197.078</v>
      </c>
      <c r="C17" s="2">
        <f t="shared" si="1"/>
        <v>100</v>
      </c>
      <c r="D17" s="2">
        <f t="shared" si="2"/>
        <v>1</v>
      </c>
      <c r="E17" s="2">
        <f t="shared" si="3"/>
        <v>1</v>
      </c>
      <c r="F17" s="2">
        <f t="shared" si="4"/>
        <v>0.99</v>
      </c>
      <c r="G17" s="2">
        <f t="shared" si="5"/>
        <v>1</v>
      </c>
      <c r="H17" s="2">
        <f>IF(G17=Training_Data!F17,1,0)</f>
        <v>0</v>
      </c>
    </row>
    <row r="18" spans="1:8" x14ac:dyDescent="0.2">
      <c r="A18" s="2">
        <f>$L$2+SUMPRODUCT($M$2:$Q$2,Training_Data!A18:E18)</f>
        <v>497.72800000000007</v>
      </c>
      <c r="B18" s="2">
        <f t="shared" si="0"/>
        <v>497.72800000000007</v>
      </c>
      <c r="C18" s="2">
        <f t="shared" si="1"/>
        <v>100</v>
      </c>
      <c r="D18" s="2">
        <f t="shared" si="2"/>
        <v>1</v>
      </c>
      <c r="E18" s="2">
        <f t="shared" si="3"/>
        <v>1</v>
      </c>
      <c r="F18" s="2">
        <f t="shared" si="4"/>
        <v>0.99</v>
      </c>
      <c r="G18" s="2">
        <f t="shared" si="5"/>
        <v>1</v>
      </c>
      <c r="H18" s="2">
        <f>IF(G18=Training_Data!F18,1,0)</f>
        <v>1</v>
      </c>
    </row>
    <row r="19" spans="1:8" x14ac:dyDescent="0.2">
      <c r="A19" s="2">
        <f>$L$2+SUMPRODUCT($M$2:$Q$2,Training_Data!A19:E19)</f>
        <v>942.40600000000006</v>
      </c>
      <c r="B19" s="2">
        <f t="shared" si="0"/>
        <v>942.40600000000006</v>
      </c>
      <c r="C19" s="2">
        <f t="shared" si="1"/>
        <v>100</v>
      </c>
      <c r="D19" s="2">
        <f t="shared" si="2"/>
        <v>1</v>
      </c>
      <c r="E19" s="2">
        <f t="shared" si="3"/>
        <v>1</v>
      </c>
      <c r="F19" s="2">
        <f t="shared" si="4"/>
        <v>0.99</v>
      </c>
      <c r="G19" s="2">
        <f t="shared" si="5"/>
        <v>1</v>
      </c>
      <c r="H19" s="2">
        <f>IF(G19=Training_Data!F19,1,0)</f>
        <v>1</v>
      </c>
    </row>
    <row r="20" spans="1:8" x14ac:dyDescent="0.2">
      <c r="A20" s="2">
        <f>$L$2+SUMPRODUCT($M$2:$Q$2,Training_Data!A20:E20)</f>
        <v>-13.2</v>
      </c>
      <c r="B20" s="2">
        <f t="shared" si="0"/>
        <v>-13.2</v>
      </c>
      <c r="C20" s="2">
        <f t="shared" si="1"/>
        <v>-13.2</v>
      </c>
      <c r="D20" s="2">
        <f t="shared" si="2"/>
        <v>1.8505977728634534E-6</v>
      </c>
      <c r="E20" s="2">
        <f t="shared" si="3"/>
        <v>0.01</v>
      </c>
      <c r="F20" s="2">
        <f t="shared" si="4"/>
        <v>0.01</v>
      </c>
      <c r="G20" s="2">
        <f t="shared" si="5"/>
        <v>0</v>
      </c>
      <c r="H20" s="2">
        <f>IF(G20=Training_Data!F20,1,0)</f>
        <v>0</v>
      </c>
    </row>
    <row r="21" spans="1:8" x14ac:dyDescent="0.2">
      <c r="A21" s="2">
        <f>$L$2+SUMPRODUCT($M$2:$Q$2,Training_Data!A21:E21)</f>
        <v>132.48400000000001</v>
      </c>
      <c r="B21" s="2">
        <f t="shared" si="0"/>
        <v>132.48400000000001</v>
      </c>
      <c r="C21" s="2">
        <f t="shared" si="1"/>
        <v>100</v>
      </c>
      <c r="D21" s="2">
        <f t="shared" si="2"/>
        <v>1</v>
      </c>
      <c r="E21" s="2">
        <f t="shared" si="3"/>
        <v>1</v>
      </c>
      <c r="F21" s="2">
        <f t="shared" si="4"/>
        <v>0.99</v>
      </c>
      <c r="G21" s="2">
        <f t="shared" si="5"/>
        <v>1</v>
      </c>
      <c r="H21" s="2">
        <f>IF(G21=Training_Data!F21,1,0)</f>
        <v>1</v>
      </c>
    </row>
    <row r="22" spans="1:8" x14ac:dyDescent="0.2">
      <c r="A22" s="2">
        <f>$L$2+SUMPRODUCT($M$2:$Q$2,Training_Data!A22:E22)</f>
        <v>4137.05</v>
      </c>
      <c r="B22" s="2">
        <f t="shared" si="0"/>
        <v>4137.05</v>
      </c>
      <c r="C22" s="2">
        <f t="shared" si="1"/>
        <v>100</v>
      </c>
      <c r="D22" s="2">
        <f t="shared" si="2"/>
        <v>1</v>
      </c>
      <c r="E22" s="2">
        <f t="shared" si="3"/>
        <v>1</v>
      </c>
      <c r="F22" s="2">
        <f t="shared" si="4"/>
        <v>0.99</v>
      </c>
      <c r="G22" s="2">
        <f t="shared" si="5"/>
        <v>1</v>
      </c>
      <c r="H22" s="2">
        <f>IF(G22=Training_Data!F22,1,0)</f>
        <v>1</v>
      </c>
    </row>
    <row r="23" spans="1:8" x14ac:dyDescent="0.2">
      <c r="A23" s="2">
        <f>$L$2+SUMPRODUCT($M$2:$Q$2,Training_Data!A23:E23)</f>
        <v>377.47800000000001</v>
      </c>
      <c r="B23" s="2">
        <f t="shared" si="0"/>
        <v>377.47800000000001</v>
      </c>
      <c r="C23" s="2">
        <f t="shared" si="1"/>
        <v>100</v>
      </c>
      <c r="D23" s="2">
        <f t="shared" si="2"/>
        <v>1</v>
      </c>
      <c r="E23" s="2">
        <f t="shared" si="3"/>
        <v>1</v>
      </c>
      <c r="F23" s="2">
        <f t="shared" si="4"/>
        <v>0.99</v>
      </c>
      <c r="G23" s="2">
        <f t="shared" si="5"/>
        <v>1</v>
      </c>
      <c r="H23" s="2">
        <f>IF(G23=Training_Data!F23,1,0)</f>
        <v>1</v>
      </c>
    </row>
    <row r="24" spans="1:8" x14ac:dyDescent="0.2">
      <c r="A24" s="2">
        <f>$L$2+SUMPRODUCT($M$2:$Q$2,Training_Data!A24:E24)</f>
        <v>4025.5</v>
      </c>
      <c r="B24" s="2">
        <f t="shared" si="0"/>
        <v>4025.5</v>
      </c>
      <c r="C24" s="2">
        <f t="shared" si="1"/>
        <v>100</v>
      </c>
      <c r="D24" s="2">
        <f t="shared" si="2"/>
        <v>1</v>
      </c>
      <c r="E24" s="2">
        <f t="shared" si="3"/>
        <v>1</v>
      </c>
      <c r="F24" s="2">
        <f t="shared" si="4"/>
        <v>0.99</v>
      </c>
      <c r="G24" s="2">
        <f t="shared" si="5"/>
        <v>1</v>
      </c>
      <c r="H24" s="2">
        <f>IF(G24=Training_Data!F24,1,0)</f>
        <v>1</v>
      </c>
    </row>
    <row r="25" spans="1:8" x14ac:dyDescent="0.2">
      <c r="A25" s="2">
        <f>$L$2+SUMPRODUCT($M$2:$Q$2,Training_Data!A25:E25)</f>
        <v>208.67500000000001</v>
      </c>
      <c r="B25" s="2">
        <f t="shared" si="0"/>
        <v>208.67500000000001</v>
      </c>
      <c r="C25" s="2">
        <f t="shared" si="1"/>
        <v>100</v>
      </c>
      <c r="D25" s="2">
        <f t="shared" si="2"/>
        <v>1</v>
      </c>
      <c r="E25" s="2">
        <f t="shared" si="3"/>
        <v>1</v>
      </c>
      <c r="F25" s="2">
        <f t="shared" si="4"/>
        <v>0.99</v>
      </c>
      <c r="G25" s="2">
        <f t="shared" si="5"/>
        <v>1</v>
      </c>
      <c r="H25" s="2">
        <f>IF(G25=Training_Data!F25,1,0)</f>
        <v>1</v>
      </c>
    </row>
    <row r="26" spans="1:8" x14ac:dyDescent="0.2">
      <c r="A26" s="2">
        <f>$L$2+SUMPRODUCT($M$2:$Q$2,Training_Data!A26:E26)</f>
        <v>171.34699999999998</v>
      </c>
      <c r="B26" s="2">
        <f t="shared" si="0"/>
        <v>171.34699999999998</v>
      </c>
      <c r="C26" s="2">
        <f t="shared" si="1"/>
        <v>100</v>
      </c>
      <c r="D26" s="2">
        <f t="shared" si="2"/>
        <v>1</v>
      </c>
      <c r="E26" s="2">
        <f t="shared" si="3"/>
        <v>1</v>
      </c>
      <c r="F26" s="2">
        <f t="shared" si="4"/>
        <v>0.99</v>
      </c>
      <c r="G26" s="2">
        <f t="shared" si="5"/>
        <v>1</v>
      </c>
      <c r="H26" s="2">
        <f>IF(G26=Training_Data!F26,1,0)</f>
        <v>1</v>
      </c>
    </row>
    <row r="27" spans="1:8" x14ac:dyDescent="0.2">
      <c r="A27" s="2">
        <f>$L$2+SUMPRODUCT($M$2:$Q$2,Training_Data!A27:E27)</f>
        <v>124.44</v>
      </c>
      <c r="B27" s="2">
        <f t="shared" si="0"/>
        <v>124.44</v>
      </c>
      <c r="C27" s="2">
        <f t="shared" si="1"/>
        <v>100</v>
      </c>
      <c r="D27" s="2">
        <f t="shared" si="2"/>
        <v>1</v>
      </c>
      <c r="E27" s="2">
        <f t="shared" si="3"/>
        <v>1</v>
      </c>
      <c r="F27" s="2">
        <f t="shared" si="4"/>
        <v>0.99</v>
      </c>
      <c r="G27" s="2">
        <f t="shared" si="5"/>
        <v>1</v>
      </c>
      <c r="H27" s="2">
        <f>IF(G27=Training_Data!F27,1,0)</f>
        <v>1</v>
      </c>
    </row>
    <row r="28" spans="1:8" x14ac:dyDescent="0.2">
      <c r="A28" s="2">
        <f>$L$2+SUMPRODUCT($M$2:$Q$2,Training_Data!A28:E28)</f>
        <v>0.29699999999999793</v>
      </c>
      <c r="B28" s="2">
        <f t="shared" si="0"/>
        <v>0.29699999999999793</v>
      </c>
      <c r="C28" s="2">
        <f t="shared" si="1"/>
        <v>0.29699999999999793</v>
      </c>
      <c r="D28" s="2">
        <f t="shared" si="2"/>
        <v>0.57370897860744952</v>
      </c>
      <c r="E28" s="2">
        <f t="shared" si="3"/>
        <v>0.57370897860744952</v>
      </c>
      <c r="F28" s="2">
        <f t="shared" si="4"/>
        <v>0.57370897860744952</v>
      </c>
      <c r="G28" s="2">
        <f t="shared" si="5"/>
        <v>1</v>
      </c>
      <c r="H28" s="2">
        <f>IF(G28=Training_Data!F28,1,0)</f>
        <v>1</v>
      </c>
    </row>
    <row r="29" spans="1:8" x14ac:dyDescent="0.2">
      <c r="A29" s="2">
        <f>$L$2+SUMPRODUCT($M$2:$Q$2,Training_Data!A29:E29)</f>
        <v>21.478000000000005</v>
      </c>
      <c r="B29" s="2">
        <f t="shared" si="0"/>
        <v>21.478000000000005</v>
      </c>
      <c r="C29" s="2">
        <f t="shared" si="1"/>
        <v>21.478000000000005</v>
      </c>
      <c r="D29" s="2">
        <f t="shared" si="2"/>
        <v>0.99999999952986451</v>
      </c>
      <c r="E29" s="2">
        <f t="shared" si="3"/>
        <v>0.99999999952986451</v>
      </c>
      <c r="F29" s="2">
        <f t="shared" si="4"/>
        <v>0.99</v>
      </c>
      <c r="G29" s="2">
        <f t="shared" si="5"/>
        <v>1</v>
      </c>
      <c r="H29" s="2">
        <f>IF(G29=Training_Data!F29,1,0)</f>
        <v>1</v>
      </c>
    </row>
    <row r="30" spans="1:8" x14ac:dyDescent="0.2">
      <c r="A30" s="2">
        <f>$L$2+SUMPRODUCT($M$2:$Q$2,Training_Data!A30:E30)</f>
        <v>-15.678000000000001</v>
      </c>
      <c r="B30" s="2">
        <f t="shared" si="0"/>
        <v>-15.678000000000001</v>
      </c>
      <c r="C30" s="2">
        <f t="shared" si="1"/>
        <v>-15.678000000000001</v>
      </c>
      <c r="D30" s="2">
        <f t="shared" si="2"/>
        <v>1.5528555024118846E-7</v>
      </c>
      <c r="E30" s="2">
        <f t="shared" si="3"/>
        <v>0.01</v>
      </c>
      <c r="F30" s="2">
        <f t="shared" si="4"/>
        <v>0.01</v>
      </c>
      <c r="G30" s="2">
        <f t="shared" si="5"/>
        <v>0</v>
      </c>
      <c r="H30" s="2">
        <f>IF(G30=Training_Data!F30,1,0)</f>
        <v>0</v>
      </c>
    </row>
    <row r="31" spans="1:8" x14ac:dyDescent="0.2">
      <c r="A31" s="2">
        <f>$L$2+SUMPRODUCT($M$2:$Q$2,Training_Data!A31:E31)</f>
        <v>32628.116000000002</v>
      </c>
      <c r="B31" s="2">
        <f t="shared" si="0"/>
        <v>32628.116000000002</v>
      </c>
      <c r="C31" s="2">
        <f t="shared" si="1"/>
        <v>100</v>
      </c>
      <c r="D31" s="2">
        <f t="shared" si="2"/>
        <v>1</v>
      </c>
      <c r="E31" s="2">
        <f t="shared" si="3"/>
        <v>1</v>
      </c>
      <c r="F31" s="2">
        <f t="shared" si="4"/>
        <v>0.99</v>
      </c>
      <c r="G31" s="2">
        <f t="shared" si="5"/>
        <v>1</v>
      </c>
      <c r="H31" s="2">
        <f>IF(G31=Training_Data!F31,1,0)</f>
        <v>1</v>
      </c>
    </row>
    <row r="32" spans="1:8" x14ac:dyDescent="0.2">
      <c r="A32" s="2">
        <f>$L$2+SUMPRODUCT($M$2:$Q$2,Training_Data!A32:E32)</f>
        <v>238.38499999999999</v>
      </c>
      <c r="B32" s="2">
        <f t="shared" si="0"/>
        <v>238.38499999999999</v>
      </c>
      <c r="C32" s="2">
        <f t="shared" si="1"/>
        <v>100</v>
      </c>
      <c r="D32" s="2">
        <f t="shared" si="2"/>
        <v>1</v>
      </c>
      <c r="E32" s="2">
        <f t="shared" si="3"/>
        <v>1</v>
      </c>
      <c r="F32" s="2">
        <f t="shared" si="4"/>
        <v>0.99</v>
      </c>
      <c r="G32" s="2">
        <f t="shared" si="5"/>
        <v>1</v>
      </c>
      <c r="H32" s="2">
        <f>IF(G32=Training_Data!F32,1,0)</f>
        <v>1</v>
      </c>
    </row>
    <row r="33" spans="1:8" x14ac:dyDescent="0.2">
      <c r="A33" s="2">
        <f>$L$2+SUMPRODUCT($M$2:$Q$2,Training_Data!A33:E33)</f>
        <v>2.7659999999999956</v>
      </c>
      <c r="B33" s="2">
        <f t="shared" si="0"/>
        <v>2.7659999999999956</v>
      </c>
      <c r="C33" s="2">
        <f t="shared" si="1"/>
        <v>2.7659999999999956</v>
      </c>
      <c r="D33" s="2">
        <f t="shared" si="2"/>
        <v>0.94081063495499939</v>
      </c>
      <c r="E33" s="2">
        <f t="shared" si="3"/>
        <v>0.94081063495499939</v>
      </c>
      <c r="F33" s="2">
        <f t="shared" si="4"/>
        <v>0.94081063495499939</v>
      </c>
      <c r="G33" s="2">
        <f t="shared" si="5"/>
        <v>1</v>
      </c>
      <c r="H33" s="2">
        <f>IF(G33=Training_Data!F33,1,0)</f>
        <v>1</v>
      </c>
    </row>
    <row r="34" spans="1:8" x14ac:dyDescent="0.2">
      <c r="A34" s="2">
        <f>$L$2+SUMPRODUCT($M$2:$Q$2,Training_Data!A34:E34)</f>
        <v>15990.490000000002</v>
      </c>
      <c r="B34" s="2">
        <f t="shared" si="0"/>
        <v>15990.490000000002</v>
      </c>
      <c r="C34" s="2">
        <f t="shared" si="1"/>
        <v>100</v>
      </c>
      <c r="D34" s="2">
        <f t="shared" si="2"/>
        <v>1</v>
      </c>
      <c r="E34" s="2">
        <f t="shared" si="3"/>
        <v>1</v>
      </c>
      <c r="F34" s="2">
        <f t="shared" si="4"/>
        <v>0.99</v>
      </c>
      <c r="G34" s="2">
        <f t="shared" si="5"/>
        <v>1</v>
      </c>
      <c r="H34" s="2">
        <f>IF(G34=Training_Data!F34,1,0)</f>
        <v>1</v>
      </c>
    </row>
    <row r="35" spans="1:8" x14ac:dyDescent="0.2">
      <c r="A35" s="2">
        <f>$L$2+SUMPRODUCT($M$2:$Q$2,Training_Data!A35:E35)</f>
        <v>12791.900000000001</v>
      </c>
      <c r="B35" s="2">
        <f t="shared" si="0"/>
        <v>12791.900000000001</v>
      </c>
      <c r="C35" s="2">
        <f t="shared" si="1"/>
        <v>100</v>
      </c>
      <c r="D35" s="2">
        <f t="shared" si="2"/>
        <v>1</v>
      </c>
      <c r="E35" s="2">
        <f t="shared" si="3"/>
        <v>1</v>
      </c>
      <c r="F35" s="2">
        <f t="shared" si="4"/>
        <v>0.99</v>
      </c>
      <c r="G35" s="2">
        <f t="shared" si="5"/>
        <v>1</v>
      </c>
      <c r="H35" s="2">
        <f>IF(G35=Training_Data!F35,1,0)</f>
        <v>1</v>
      </c>
    </row>
    <row r="36" spans="1:8" x14ac:dyDescent="0.2">
      <c r="A36" s="2">
        <f>$L$2+SUMPRODUCT($M$2:$Q$2,Training_Data!A36:E36)</f>
        <v>1800.7750000000001</v>
      </c>
      <c r="B36" s="2">
        <f t="shared" si="0"/>
        <v>1800.7750000000001</v>
      </c>
      <c r="C36" s="2">
        <f t="shared" si="1"/>
        <v>100</v>
      </c>
      <c r="D36" s="2">
        <f t="shared" si="2"/>
        <v>1</v>
      </c>
      <c r="E36" s="2">
        <f t="shared" si="3"/>
        <v>1</v>
      </c>
      <c r="F36" s="2">
        <f t="shared" si="4"/>
        <v>0.99</v>
      </c>
      <c r="G36" s="2">
        <f t="shared" si="5"/>
        <v>1</v>
      </c>
      <c r="H36" s="2">
        <f>IF(G36=Training_Data!F36,1,0)</f>
        <v>1</v>
      </c>
    </row>
    <row r="37" spans="1:8" x14ac:dyDescent="0.2">
      <c r="A37" s="2">
        <f>$L$2+SUMPRODUCT($M$2:$Q$2,Training_Data!A37:E37)</f>
        <v>662.75300000000004</v>
      </c>
      <c r="B37" s="2">
        <f t="shared" si="0"/>
        <v>662.75300000000004</v>
      </c>
      <c r="C37" s="2">
        <f t="shared" si="1"/>
        <v>100</v>
      </c>
      <c r="D37" s="2">
        <f t="shared" si="2"/>
        <v>1</v>
      </c>
      <c r="E37" s="2">
        <f t="shared" si="3"/>
        <v>1</v>
      </c>
      <c r="F37" s="2">
        <f t="shared" si="4"/>
        <v>0.99</v>
      </c>
      <c r="G37" s="2">
        <f t="shared" si="5"/>
        <v>1</v>
      </c>
      <c r="H37" s="2">
        <f>IF(G37=Training_Data!F37,1,0)</f>
        <v>1</v>
      </c>
    </row>
    <row r="38" spans="1:8" x14ac:dyDescent="0.2">
      <c r="A38" s="2">
        <f>$L$2+SUMPRODUCT($M$2:$Q$2,Training_Data!A38:E38)</f>
        <v>3026.4649999999997</v>
      </c>
      <c r="B38" s="2">
        <f t="shared" si="0"/>
        <v>3026.4649999999997</v>
      </c>
      <c r="C38" s="2">
        <f t="shared" si="1"/>
        <v>100</v>
      </c>
      <c r="D38" s="2">
        <f t="shared" si="2"/>
        <v>1</v>
      </c>
      <c r="E38" s="2">
        <f t="shared" si="3"/>
        <v>1</v>
      </c>
      <c r="F38" s="2">
        <f t="shared" si="4"/>
        <v>0.99</v>
      </c>
      <c r="G38" s="2">
        <f t="shared" si="5"/>
        <v>1</v>
      </c>
      <c r="H38" s="2">
        <f>IF(G38=Training_Data!F38,1,0)</f>
        <v>1</v>
      </c>
    </row>
    <row r="39" spans="1:8" x14ac:dyDescent="0.2">
      <c r="A39" s="2">
        <f>$L$2+SUMPRODUCT($M$2:$Q$2,Training_Data!A39:E39)</f>
        <v>2163.9499999999998</v>
      </c>
      <c r="B39" s="2">
        <f t="shared" si="0"/>
        <v>2163.9499999999998</v>
      </c>
      <c r="C39" s="2">
        <f t="shared" si="1"/>
        <v>100</v>
      </c>
      <c r="D39" s="2">
        <f t="shared" si="2"/>
        <v>1</v>
      </c>
      <c r="E39" s="2">
        <f t="shared" si="3"/>
        <v>1</v>
      </c>
      <c r="F39" s="2">
        <f t="shared" si="4"/>
        <v>0.99</v>
      </c>
      <c r="G39" s="2">
        <f t="shared" si="5"/>
        <v>1</v>
      </c>
      <c r="H39" s="2">
        <f>IF(G39=Training_Data!F39,1,0)</f>
        <v>1</v>
      </c>
    </row>
    <row r="40" spans="1:8" x14ac:dyDescent="0.2">
      <c r="A40" s="2">
        <f>$L$2+SUMPRODUCT($M$2:$Q$2,Training_Data!A40:E40)</f>
        <v>1919.462</v>
      </c>
      <c r="B40" s="2">
        <f t="shared" si="0"/>
        <v>1919.462</v>
      </c>
      <c r="C40" s="2">
        <f t="shared" si="1"/>
        <v>100</v>
      </c>
      <c r="D40" s="2">
        <f t="shared" si="2"/>
        <v>1</v>
      </c>
      <c r="E40" s="2">
        <f t="shared" si="3"/>
        <v>1</v>
      </c>
      <c r="F40" s="2">
        <f t="shared" si="4"/>
        <v>0.99</v>
      </c>
      <c r="G40" s="2">
        <f t="shared" si="5"/>
        <v>1</v>
      </c>
      <c r="H40" s="2">
        <f>IF(G40=Training_Data!F40,1,0)</f>
        <v>1</v>
      </c>
    </row>
    <row r="41" spans="1:8" x14ac:dyDescent="0.2">
      <c r="A41" s="2">
        <f>$L$2+SUMPRODUCT($M$2:$Q$2,Training_Data!A41:E41)</f>
        <v>1001.2380000000001</v>
      </c>
      <c r="B41" s="2">
        <f t="shared" si="0"/>
        <v>1001.2380000000001</v>
      </c>
      <c r="C41" s="2">
        <f t="shared" si="1"/>
        <v>100</v>
      </c>
      <c r="D41" s="2">
        <f t="shared" si="2"/>
        <v>1</v>
      </c>
      <c r="E41" s="2">
        <f t="shared" si="3"/>
        <v>1</v>
      </c>
      <c r="F41" s="2">
        <f t="shared" si="4"/>
        <v>0.99</v>
      </c>
      <c r="G41" s="2">
        <f t="shared" si="5"/>
        <v>1</v>
      </c>
      <c r="H41" s="2">
        <f>IF(G41=Training_Data!F41,1,0)</f>
        <v>1</v>
      </c>
    </row>
    <row r="42" spans="1:8" x14ac:dyDescent="0.2">
      <c r="A42" s="2">
        <f>$L$2+SUMPRODUCT($M$2:$Q$2,Training_Data!A42:E42)</f>
        <v>709.42100000000005</v>
      </c>
      <c r="B42" s="2">
        <f t="shared" si="0"/>
        <v>709.42100000000005</v>
      </c>
      <c r="C42" s="2">
        <f t="shared" si="1"/>
        <v>100</v>
      </c>
      <c r="D42" s="2">
        <f t="shared" si="2"/>
        <v>1</v>
      </c>
      <c r="E42" s="2">
        <f t="shared" si="3"/>
        <v>1</v>
      </c>
      <c r="F42" s="2">
        <f t="shared" si="4"/>
        <v>0.99</v>
      </c>
      <c r="G42" s="2">
        <f t="shared" si="5"/>
        <v>1</v>
      </c>
      <c r="H42" s="2">
        <f>IF(G42=Training_Data!F42,1,0)</f>
        <v>1</v>
      </c>
    </row>
    <row r="43" spans="1:8" x14ac:dyDescent="0.2">
      <c r="A43" s="2">
        <f>$L$2+SUMPRODUCT($M$2:$Q$2,Training_Data!A43:E43)</f>
        <v>7326.875</v>
      </c>
      <c r="B43" s="2">
        <f t="shared" si="0"/>
        <v>7326.875</v>
      </c>
      <c r="C43" s="2">
        <f t="shared" si="1"/>
        <v>100</v>
      </c>
      <c r="D43" s="2">
        <f t="shared" si="2"/>
        <v>1</v>
      </c>
      <c r="E43" s="2">
        <f t="shared" si="3"/>
        <v>1</v>
      </c>
      <c r="F43" s="2">
        <f t="shared" si="4"/>
        <v>0.99</v>
      </c>
      <c r="G43" s="2">
        <f t="shared" si="5"/>
        <v>1</v>
      </c>
      <c r="H43" s="2">
        <f>IF(G43=Training_Data!F43,1,0)</f>
        <v>1</v>
      </c>
    </row>
    <row r="44" spans="1:8" x14ac:dyDescent="0.2">
      <c r="A44" s="2">
        <f>$L$2+SUMPRODUCT($M$2:$Q$2,Training_Data!A44:E44)</f>
        <v>614.46</v>
      </c>
      <c r="B44" s="2">
        <f t="shared" si="0"/>
        <v>614.46</v>
      </c>
      <c r="C44" s="2">
        <f t="shared" si="1"/>
        <v>100</v>
      </c>
      <c r="D44" s="2">
        <f t="shared" si="2"/>
        <v>1</v>
      </c>
      <c r="E44" s="2">
        <f t="shared" si="3"/>
        <v>1</v>
      </c>
      <c r="F44" s="2">
        <f t="shared" si="4"/>
        <v>0.99</v>
      </c>
      <c r="G44" s="2">
        <f t="shared" si="5"/>
        <v>1</v>
      </c>
      <c r="H44" s="2">
        <f>IF(G44=Training_Data!F44,1,0)</f>
        <v>1</v>
      </c>
    </row>
    <row r="45" spans="1:8" x14ac:dyDescent="0.2">
      <c r="A45" s="2">
        <f>$L$2+SUMPRODUCT($M$2:$Q$2,Training_Data!A45:E45)</f>
        <v>106.21600000000001</v>
      </c>
      <c r="B45" s="2">
        <f t="shared" si="0"/>
        <v>106.21600000000001</v>
      </c>
      <c r="C45" s="2">
        <f t="shared" si="1"/>
        <v>100</v>
      </c>
      <c r="D45" s="2">
        <f t="shared" si="2"/>
        <v>1</v>
      </c>
      <c r="E45" s="2">
        <f t="shared" si="3"/>
        <v>1</v>
      </c>
      <c r="F45" s="2">
        <f t="shared" si="4"/>
        <v>0.99</v>
      </c>
      <c r="G45" s="2">
        <f t="shared" si="5"/>
        <v>1</v>
      </c>
      <c r="H45" s="2">
        <f>IF(G45=Training_Data!F45,1,0)</f>
        <v>1</v>
      </c>
    </row>
    <row r="46" spans="1:8" x14ac:dyDescent="0.2">
      <c r="A46" s="2">
        <f>$L$2+SUMPRODUCT($M$2:$Q$2,Training_Data!A46:E46)</f>
        <v>114.82200000000002</v>
      </c>
      <c r="B46" s="2">
        <f t="shared" si="0"/>
        <v>114.82200000000002</v>
      </c>
      <c r="C46" s="2">
        <f t="shared" si="1"/>
        <v>100</v>
      </c>
      <c r="D46" s="2">
        <f t="shared" si="2"/>
        <v>1</v>
      </c>
      <c r="E46" s="2">
        <f t="shared" si="3"/>
        <v>1</v>
      </c>
      <c r="F46" s="2">
        <f t="shared" si="4"/>
        <v>0.99</v>
      </c>
      <c r="G46" s="2">
        <f t="shared" si="5"/>
        <v>1</v>
      </c>
      <c r="H46" s="2">
        <f>IF(G46=Training_Data!F46,1,0)</f>
        <v>1</v>
      </c>
    </row>
    <row r="47" spans="1:8" x14ac:dyDescent="0.2">
      <c r="A47" s="2">
        <f>$L$2+SUMPRODUCT($M$2:$Q$2,Training_Data!A47:E47)</f>
        <v>884.17800000000011</v>
      </c>
      <c r="B47" s="2">
        <f t="shared" si="0"/>
        <v>884.17800000000011</v>
      </c>
      <c r="C47" s="2">
        <f t="shared" si="1"/>
        <v>100</v>
      </c>
      <c r="D47" s="2">
        <f t="shared" si="2"/>
        <v>1</v>
      </c>
      <c r="E47" s="2">
        <f t="shared" si="3"/>
        <v>1</v>
      </c>
      <c r="F47" s="2">
        <f t="shared" si="4"/>
        <v>0.99</v>
      </c>
      <c r="G47" s="2">
        <f t="shared" si="5"/>
        <v>1</v>
      </c>
      <c r="H47" s="2">
        <f>IF(G47=Training_Data!F47,1,0)</f>
        <v>1</v>
      </c>
    </row>
    <row r="48" spans="1:8" x14ac:dyDescent="0.2">
      <c r="A48" s="2">
        <f>$L$2+SUMPRODUCT($M$2:$Q$2,Training_Data!A48:E48)</f>
        <v>4519.2129999999997</v>
      </c>
      <c r="B48" s="2">
        <f t="shared" si="0"/>
        <v>4519.2129999999997</v>
      </c>
      <c r="C48" s="2">
        <f t="shared" si="1"/>
        <v>100</v>
      </c>
      <c r="D48" s="2">
        <f t="shared" si="2"/>
        <v>1</v>
      </c>
      <c r="E48" s="2">
        <f t="shared" si="3"/>
        <v>1</v>
      </c>
      <c r="F48" s="2">
        <f t="shared" si="4"/>
        <v>0.99</v>
      </c>
      <c r="G48" s="2">
        <f t="shared" si="5"/>
        <v>1</v>
      </c>
      <c r="H48" s="2">
        <f>IF(G48=Training_Data!F48,1,0)</f>
        <v>1</v>
      </c>
    </row>
    <row r="49" spans="1:8" x14ac:dyDescent="0.2">
      <c r="A49" s="2">
        <f>$L$2+SUMPRODUCT($M$2:$Q$2,Training_Data!A49:E49)</f>
        <v>1360.9560000000001</v>
      </c>
      <c r="B49" s="2">
        <f t="shared" si="0"/>
        <v>1360.9560000000001</v>
      </c>
      <c r="C49" s="2">
        <f t="shared" si="1"/>
        <v>100</v>
      </c>
      <c r="D49" s="2">
        <f t="shared" si="2"/>
        <v>1</v>
      </c>
      <c r="E49" s="2">
        <f t="shared" si="3"/>
        <v>1</v>
      </c>
      <c r="F49" s="2">
        <f t="shared" si="4"/>
        <v>0.99</v>
      </c>
      <c r="G49" s="2">
        <f t="shared" si="5"/>
        <v>1</v>
      </c>
      <c r="H49" s="2">
        <f>IF(G49=Training_Data!F49,1,0)</f>
        <v>1</v>
      </c>
    </row>
    <row r="50" spans="1:8" x14ac:dyDescent="0.2">
      <c r="A50" s="2">
        <f>$L$2+SUMPRODUCT($M$2:$Q$2,Training_Data!A50:E50)</f>
        <v>257.83800000000002</v>
      </c>
      <c r="B50" s="2">
        <f t="shared" si="0"/>
        <v>257.83800000000002</v>
      </c>
      <c r="C50" s="2">
        <f t="shared" si="1"/>
        <v>100</v>
      </c>
      <c r="D50" s="2">
        <f t="shared" si="2"/>
        <v>1</v>
      </c>
      <c r="E50" s="2">
        <f t="shared" si="3"/>
        <v>1</v>
      </c>
      <c r="F50" s="2">
        <f t="shared" si="4"/>
        <v>0.99</v>
      </c>
      <c r="G50" s="2">
        <f t="shared" si="5"/>
        <v>1</v>
      </c>
      <c r="H50" s="2">
        <f>IF(G50=Training_Data!F50,1,0)</f>
        <v>1</v>
      </c>
    </row>
    <row r="51" spans="1:8" x14ac:dyDescent="0.2">
      <c r="A51" s="2">
        <f>$L$2+SUMPRODUCT($M$2:$Q$2,Training_Data!A51:E51)</f>
        <v>114.932</v>
      </c>
      <c r="B51" s="2">
        <f t="shared" si="0"/>
        <v>114.932</v>
      </c>
      <c r="C51" s="2">
        <f t="shared" si="1"/>
        <v>100</v>
      </c>
      <c r="D51" s="2">
        <f t="shared" si="2"/>
        <v>1</v>
      </c>
      <c r="E51" s="2">
        <f t="shared" si="3"/>
        <v>1</v>
      </c>
      <c r="F51" s="2">
        <f t="shared" si="4"/>
        <v>0.99</v>
      </c>
      <c r="G51" s="2">
        <f t="shared" si="5"/>
        <v>1</v>
      </c>
      <c r="H51" s="2">
        <f>IF(G51=Training_Data!F51,1,0)</f>
        <v>1</v>
      </c>
    </row>
    <row r="52" spans="1:8" x14ac:dyDescent="0.2">
      <c r="A52" s="2">
        <f>$L$2+SUMPRODUCT($M$2:$Q$2,Training_Data!A52:E52)</f>
        <v>622.50000000000011</v>
      </c>
      <c r="B52" s="2">
        <f t="shared" si="0"/>
        <v>622.50000000000011</v>
      </c>
      <c r="C52" s="2">
        <f t="shared" si="1"/>
        <v>100</v>
      </c>
      <c r="D52" s="2">
        <f t="shared" si="2"/>
        <v>1</v>
      </c>
      <c r="E52" s="2">
        <f t="shared" si="3"/>
        <v>1</v>
      </c>
      <c r="F52" s="2">
        <f t="shared" si="4"/>
        <v>0.99</v>
      </c>
      <c r="G52" s="2">
        <f t="shared" si="5"/>
        <v>1</v>
      </c>
      <c r="H52" s="2">
        <f>IF(G52=Training_Data!F52,1,0)</f>
        <v>1</v>
      </c>
    </row>
    <row r="53" spans="1:8" x14ac:dyDescent="0.2">
      <c r="A53" s="2">
        <f>$L$2+SUMPRODUCT($M$2:$Q$2,Training_Data!A53:E53)</f>
        <v>350.65</v>
      </c>
      <c r="B53" s="2">
        <f t="shared" si="0"/>
        <v>350.65</v>
      </c>
      <c r="C53" s="2">
        <f t="shared" si="1"/>
        <v>100</v>
      </c>
      <c r="D53" s="2">
        <f t="shared" si="2"/>
        <v>1</v>
      </c>
      <c r="E53" s="2">
        <f t="shared" si="3"/>
        <v>1</v>
      </c>
      <c r="F53" s="2">
        <f t="shared" si="4"/>
        <v>0.99</v>
      </c>
      <c r="G53" s="2">
        <f t="shared" si="5"/>
        <v>1</v>
      </c>
      <c r="H53" s="2">
        <f>IF(G53=Training_Data!F53,1,0)</f>
        <v>1</v>
      </c>
    </row>
    <row r="54" spans="1:8" x14ac:dyDescent="0.2">
      <c r="A54" s="2">
        <f>$L$2+SUMPRODUCT($M$2:$Q$2,Training_Data!A54:E54)</f>
        <v>19055.582000000002</v>
      </c>
      <c r="B54" s="2">
        <f t="shared" si="0"/>
        <v>19055.582000000002</v>
      </c>
      <c r="C54" s="2">
        <f t="shared" si="1"/>
        <v>100</v>
      </c>
      <c r="D54" s="2">
        <f t="shared" si="2"/>
        <v>1</v>
      </c>
      <c r="E54" s="2">
        <f t="shared" si="3"/>
        <v>1</v>
      </c>
      <c r="F54" s="2">
        <f t="shared" si="4"/>
        <v>0.99</v>
      </c>
      <c r="G54" s="2">
        <f t="shared" si="5"/>
        <v>1</v>
      </c>
      <c r="H54" s="2">
        <f>IF(G54=Training_Data!F54,1,0)</f>
        <v>1</v>
      </c>
    </row>
    <row r="55" spans="1:8" x14ac:dyDescent="0.2">
      <c r="A55" s="2">
        <f>$L$2+SUMPRODUCT($M$2:$Q$2,Training_Data!A55:E55)</f>
        <v>929.47199999999998</v>
      </c>
      <c r="B55" s="2">
        <f t="shared" si="0"/>
        <v>929.47199999999998</v>
      </c>
      <c r="C55" s="2">
        <f t="shared" si="1"/>
        <v>100</v>
      </c>
      <c r="D55" s="2">
        <f t="shared" si="2"/>
        <v>1</v>
      </c>
      <c r="E55" s="2">
        <f t="shared" si="3"/>
        <v>1</v>
      </c>
      <c r="F55" s="2">
        <f t="shared" si="4"/>
        <v>0.99</v>
      </c>
      <c r="G55" s="2">
        <f t="shared" si="5"/>
        <v>1</v>
      </c>
      <c r="H55" s="2">
        <f>IF(G55=Training_Data!F55,1,0)</f>
        <v>1</v>
      </c>
    </row>
    <row r="56" spans="1:8" x14ac:dyDescent="0.2">
      <c r="A56" s="2">
        <f>$L$2+SUMPRODUCT($M$2:$Q$2,Training_Data!A56:E56)</f>
        <v>-6.1779999999999982</v>
      </c>
      <c r="B56" s="2">
        <f t="shared" si="0"/>
        <v>-6.1779999999999982</v>
      </c>
      <c r="C56" s="2">
        <f t="shared" si="1"/>
        <v>-6.1779999999999982</v>
      </c>
      <c r="D56" s="2">
        <f t="shared" si="2"/>
        <v>2.0702779116116075E-3</v>
      </c>
      <c r="E56" s="2">
        <f t="shared" si="3"/>
        <v>0.01</v>
      </c>
      <c r="F56" s="2">
        <f t="shared" si="4"/>
        <v>0.01</v>
      </c>
      <c r="G56" s="2">
        <f t="shared" si="5"/>
        <v>0</v>
      </c>
      <c r="H56" s="2">
        <f>IF(G56=Training_Data!F56,1,0)</f>
        <v>0</v>
      </c>
    </row>
    <row r="57" spans="1:8" x14ac:dyDescent="0.2">
      <c r="A57" s="2">
        <f>$L$2+SUMPRODUCT($M$2:$Q$2,Training_Data!A57:E57)</f>
        <v>1178.7810000000002</v>
      </c>
      <c r="B57" s="2">
        <f t="shared" si="0"/>
        <v>1178.7810000000002</v>
      </c>
      <c r="C57" s="2">
        <f t="shared" si="1"/>
        <v>100</v>
      </c>
      <c r="D57" s="2">
        <f t="shared" si="2"/>
        <v>1</v>
      </c>
      <c r="E57" s="2">
        <f t="shared" si="3"/>
        <v>1</v>
      </c>
      <c r="F57" s="2">
        <f t="shared" si="4"/>
        <v>0.99</v>
      </c>
      <c r="G57" s="2">
        <f t="shared" si="5"/>
        <v>1</v>
      </c>
      <c r="H57" s="2">
        <f>IF(G57=Training_Data!F57,1,0)</f>
        <v>1</v>
      </c>
    </row>
    <row r="58" spans="1:8" x14ac:dyDescent="0.2">
      <c r="A58" s="2">
        <f>$L$2+SUMPRODUCT($M$2:$Q$2,Training_Data!A58:E58)</f>
        <v>-16.000000000000004</v>
      </c>
      <c r="B58" s="2">
        <f t="shared" si="0"/>
        <v>-16.000000000000004</v>
      </c>
      <c r="C58" s="2">
        <f t="shared" si="1"/>
        <v>-16.000000000000004</v>
      </c>
      <c r="D58" s="2">
        <f t="shared" si="2"/>
        <v>1.125351620550946E-7</v>
      </c>
      <c r="E58" s="2">
        <f t="shared" si="3"/>
        <v>0.01</v>
      </c>
      <c r="F58" s="2">
        <f t="shared" si="4"/>
        <v>0.01</v>
      </c>
      <c r="G58" s="2">
        <f t="shared" si="5"/>
        <v>0</v>
      </c>
      <c r="H58" s="2">
        <f>IF(G58=Training_Data!F58,1,0)</f>
        <v>0</v>
      </c>
    </row>
    <row r="59" spans="1:8" x14ac:dyDescent="0.2">
      <c r="A59" s="2">
        <f>$L$2+SUMPRODUCT($M$2:$Q$2,Training_Data!A59:E59)</f>
        <v>390.90299999999996</v>
      </c>
      <c r="B59" s="2">
        <f t="shared" si="0"/>
        <v>390.90299999999996</v>
      </c>
      <c r="C59" s="2">
        <f t="shared" si="1"/>
        <v>100</v>
      </c>
      <c r="D59" s="2">
        <f t="shared" si="2"/>
        <v>1</v>
      </c>
      <c r="E59" s="2">
        <f t="shared" si="3"/>
        <v>1</v>
      </c>
      <c r="F59" s="2">
        <f t="shared" si="4"/>
        <v>0.99</v>
      </c>
      <c r="G59" s="2">
        <f t="shared" si="5"/>
        <v>1</v>
      </c>
      <c r="H59" s="2">
        <f>IF(G59=Training_Data!F59,1,0)</f>
        <v>1</v>
      </c>
    </row>
    <row r="60" spans="1:8" x14ac:dyDescent="0.2">
      <c r="A60" s="2">
        <f>$L$2+SUMPRODUCT($M$2:$Q$2,Training_Data!A60:E60)</f>
        <v>241.803</v>
      </c>
      <c r="B60" s="2">
        <f t="shared" si="0"/>
        <v>241.803</v>
      </c>
      <c r="C60" s="2">
        <f t="shared" si="1"/>
        <v>100</v>
      </c>
      <c r="D60" s="2">
        <f t="shared" si="2"/>
        <v>1</v>
      </c>
      <c r="E60" s="2">
        <f t="shared" si="3"/>
        <v>1</v>
      </c>
      <c r="F60" s="2">
        <f t="shared" si="4"/>
        <v>0.99</v>
      </c>
      <c r="G60" s="2">
        <f t="shared" si="5"/>
        <v>1</v>
      </c>
      <c r="H60" s="2">
        <f>IF(G60=Training_Data!F60,1,0)</f>
        <v>1</v>
      </c>
    </row>
    <row r="61" spans="1:8" x14ac:dyDescent="0.2">
      <c r="A61" s="2">
        <f>$L$2+SUMPRODUCT($M$2:$Q$2,Training_Data!A61:E61)</f>
        <v>1815.0810000000001</v>
      </c>
      <c r="B61" s="2">
        <f t="shared" si="0"/>
        <v>1815.0810000000001</v>
      </c>
      <c r="C61" s="2">
        <f t="shared" si="1"/>
        <v>100</v>
      </c>
      <c r="D61" s="2">
        <f t="shared" si="2"/>
        <v>1</v>
      </c>
      <c r="E61" s="2">
        <f t="shared" si="3"/>
        <v>1</v>
      </c>
      <c r="F61" s="2">
        <f t="shared" si="4"/>
        <v>0.99</v>
      </c>
      <c r="G61" s="2">
        <f t="shared" si="5"/>
        <v>1</v>
      </c>
      <c r="H61" s="2">
        <f>IF(G61=Training_Data!F61,1,0)</f>
        <v>1</v>
      </c>
    </row>
    <row r="62" spans="1:8" x14ac:dyDescent="0.2">
      <c r="A62" s="2">
        <f>$L$2+SUMPRODUCT($M$2:$Q$2,Training_Data!A62:E62)</f>
        <v>2987.25</v>
      </c>
      <c r="B62" s="2">
        <f t="shared" si="0"/>
        <v>2987.25</v>
      </c>
      <c r="C62" s="2">
        <f t="shared" si="1"/>
        <v>100</v>
      </c>
      <c r="D62" s="2">
        <f t="shared" si="2"/>
        <v>1</v>
      </c>
      <c r="E62" s="2">
        <f t="shared" si="3"/>
        <v>1</v>
      </c>
      <c r="F62" s="2">
        <f t="shared" si="4"/>
        <v>0.99</v>
      </c>
      <c r="G62" s="2">
        <f t="shared" si="5"/>
        <v>1</v>
      </c>
      <c r="H62" s="2">
        <f>IF(G62=Training_Data!F62,1,0)</f>
        <v>1</v>
      </c>
    </row>
    <row r="63" spans="1:8" x14ac:dyDescent="0.2">
      <c r="A63" s="2">
        <f>$L$2+SUMPRODUCT($M$2:$Q$2,Training_Data!A63:E63)</f>
        <v>129.39099999999999</v>
      </c>
      <c r="B63" s="2">
        <f t="shared" si="0"/>
        <v>129.39099999999999</v>
      </c>
      <c r="C63" s="2">
        <f t="shared" si="1"/>
        <v>100</v>
      </c>
      <c r="D63" s="2">
        <f t="shared" si="2"/>
        <v>1</v>
      </c>
      <c r="E63" s="2">
        <f t="shared" si="3"/>
        <v>1</v>
      </c>
      <c r="F63" s="2">
        <f t="shared" si="4"/>
        <v>0.99</v>
      </c>
      <c r="G63" s="2">
        <f t="shared" si="5"/>
        <v>1</v>
      </c>
      <c r="H63" s="2">
        <f>IF(G63=Training_Data!F63,1,0)</f>
        <v>1</v>
      </c>
    </row>
    <row r="64" spans="1:8" x14ac:dyDescent="0.2">
      <c r="A64" s="2">
        <f>$L$2+SUMPRODUCT($M$2:$Q$2,Training_Data!A64:E64)</f>
        <v>158</v>
      </c>
      <c r="B64" s="2">
        <f t="shared" si="0"/>
        <v>158</v>
      </c>
      <c r="C64" s="2">
        <f t="shared" si="1"/>
        <v>100</v>
      </c>
      <c r="D64" s="2">
        <f t="shared" si="2"/>
        <v>1</v>
      </c>
      <c r="E64" s="2">
        <f t="shared" si="3"/>
        <v>1</v>
      </c>
      <c r="F64" s="2">
        <f t="shared" si="4"/>
        <v>0.99</v>
      </c>
      <c r="G64" s="2">
        <f t="shared" si="5"/>
        <v>1</v>
      </c>
      <c r="H64" s="2">
        <f>IF(G64=Training_Data!F64,1,0)</f>
        <v>1</v>
      </c>
    </row>
    <row r="65" spans="1:8" x14ac:dyDescent="0.2">
      <c r="A65" s="2">
        <f>$L$2+SUMPRODUCT($M$2:$Q$2,Training_Data!A65:E65)</f>
        <v>457.12799999999999</v>
      </c>
      <c r="B65" s="2">
        <f t="shared" si="0"/>
        <v>457.12799999999999</v>
      </c>
      <c r="C65" s="2">
        <f t="shared" si="1"/>
        <v>100</v>
      </c>
      <c r="D65" s="2">
        <f t="shared" si="2"/>
        <v>1</v>
      </c>
      <c r="E65" s="2">
        <f t="shared" si="3"/>
        <v>1</v>
      </c>
      <c r="F65" s="2">
        <f t="shared" si="4"/>
        <v>0.99</v>
      </c>
      <c r="G65" s="2">
        <f t="shared" si="5"/>
        <v>1</v>
      </c>
      <c r="H65" s="2">
        <f>IF(G65=Training_Data!F65,1,0)</f>
        <v>1</v>
      </c>
    </row>
    <row r="66" spans="1:8" x14ac:dyDescent="0.2">
      <c r="A66" s="2">
        <f>$L$2+SUMPRODUCT($M$2:$Q$2,Training_Data!A66:E66)</f>
        <v>100314.035</v>
      </c>
      <c r="B66" s="2">
        <f t="shared" si="0"/>
        <v>100314.035</v>
      </c>
      <c r="C66" s="2">
        <f t="shared" si="1"/>
        <v>100</v>
      </c>
      <c r="D66" s="2">
        <f t="shared" si="2"/>
        <v>1</v>
      </c>
      <c r="E66" s="2">
        <f t="shared" si="3"/>
        <v>1</v>
      </c>
      <c r="F66" s="2">
        <f t="shared" si="4"/>
        <v>0.99</v>
      </c>
      <c r="G66" s="2">
        <f t="shared" si="5"/>
        <v>1</v>
      </c>
      <c r="H66" s="2">
        <f>IF(G66=Training_Data!F66,1,0)</f>
        <v>1</v>
      </c>
    </row>
    <row r="67" spans="1:8" x14ac:dyDescent="0.2">
      <c r="A67" s="2">
        <f>$L$2+SUMPRODUCT($M$2:$Q$2,Training_Data!A67:E67)</f>
        <v>4430.4309999999996</v>
      </c>
      <c r="B67" s="2">
        <f t="shared" ref="B67:B130" si="6">IF(A67&lt;-100,-100,A67)</f>
        <v>4430.4309999999996</v>
      </c>
      <c r="C67" s="2">
        <f t="shared" ref="C67:C130" si="7">IF(B67&gt;100,100,B67)</f>
        <v>100</v>
      </c>
      <c r="D67" s="2">
        <f t="shared" ref="D67:D130" si="8">1/(1+EXP(-C67))</f>
        <v>1</v>
      </c>
      <c r="E67" s="2">
        <f t="shared" ref="E67:E130" si="9">IF(D67&lt;0.01,0.01,D67)</f>
        <v>1</v>
      </c>
      <c r="F67" s="2">
        <f t="shared" ref="F67:F130" si="10">IF(E67&gt;0.99,0.99, E67)</f>
        <v>0.99</v>
      </c>
      <c r="G67" s="2">
        <f t="shared" ref="G67:G130" si="11">IF(F67&gt;0.5,1,0)</f>
        <v>1</v>
      </c>
      <c r="H67" s="2">
        <f>IF(G67=Training_Data!F67,1,0)</f>
        <v>1</v>
      </c>
    </row>
    <row r="68" spans="1:8" x14ac:dyDescent="0.2">
      <c r="A68" s="2">
        <f>$L$2+SUMPRODUCT($M$2:$Q$2,Training_Data!A68:E68)</f>
        <v>1202.7500000000002</v>
      </c>
      <c r="B68" s="2">
        <f t="shared" si="6"/>
        <v>1202.7500000000002</v>
      </c>
      <c r="C68" s="2">
        <f t="shared" si="7"/>
        <v>100</v>
      </c>
      <c r="D68" s="2">
        <f t="shared" si="8"/>
        <v>1</v>
      </c>
      <c r="E68" s="2">
        <f t="shared" si="9"/>
        <v>1</v>
      </c>
      <c r="F68" s="2">
        <f t="shared" si="10"/>
        <v>0.99</v>
      </c>
      <c r="G68" s="2">
        <f t="shared" si="11"/>
        <v>1</v>
      </c>
      <c r="H68" s="2">
        <f>IF(G68=Training_Data!F68,1,0)</f>
        <v>1</v>
      </c>
    </row>
    <row r="69" spans="1:8" x14ac:dyDescent="0.2">
      <c r="A69" s="2">
        <f>$L$2+SUMPRODUCT($M$2:$Q$2,Training_Data!A69:E69)</f>
        <v>4664.96</v>
      </c>
      <c r="B69" s="2">
        <f t="shared" si="6"/>
        <v>4664.96</v>
      </c>
      <c r="C69" s="2">
        <f t="shared" si="7"/>
        <v>100</v>
      </c>
      <c r="D69" s="2">
        <f t="shared" si="8"/>
        <v>1</v>
      </c>
      <c r="E69" s="2">
        <f t="shared" si="9"/>
        <v>1</v>
      </c>
      <c r="F69" s="2">
        <f t="shared" si="10"/>
        <v>0.99</v>
      </c>
      <c r="G69" s="2">
        <f t="shared" si="11"/>
        <v>1</v>
      </c>
      <c r="H69" s="2">
        <f>IF(G69=Training_Data!F69,1,0)</f>
        <v>1</v>
      </c>
    </row>
    <row r="70" spans="1:8" x14ac:dyDescent="0.2">
      <c r="A70" s="2">
        <f>$L$2+SUMPRODUCT($M$2:$Q$2,Training_Data!A70:E70)</f>
        <v>156.95099999999999</v>
      </c>
      <c r="B70" s="2">
        <f t="shared" si="6"/>
        <v>156.95099999999999</v>
      </c>
      <c r="C70" s="2">
        <f t="shared" si="7"/>
        <v>100</v>
      </c>
      <c r="D70" s="2">
        <f t="shared" si="8"/>
        <v>1</v>
      </c>
      <c r="E70" s="2">
        <f t="shared" si="9"/>
        <v>1</v>
      </c>
      <c r="F70" s="2">
        <f t="shared" si="10"/>
        <v>0.99</v>
      </c>
      <c r="G70" s="2">
        <f t="shared" si="11"/>
        <v>1</v>
      </c>
      <c r="H70" s="2">
        <f>IF(G70=Training_Data!F70,1,0)</f>
        <v>1</v>
      </c>
    </row>
    <row r="71" spans="1:8" x14ac:dyDescent="0.2">
      <c r="A71" s="2">
        <f>$L$2+SUMPRODUCT($M$2:$Q$2,Training_Data!A71:E71)</f>
        <v>967.61200000000008</v>
      </c>
      <c r="B71" s="2">
        <f t="shared" si="6"/>
        <v>967.61200000000008</v>
      </c>
      <c r="C71" s="2">
        <f t="shared" si="7"/>
        <v>100</v>
      </c>
      <c r="D71" s="2">
        <f t="shared" si="8"/>
        <v>1</v>
      </c>
      <c r="E71" s="2">
        <f t="shared" si="9"/>
        <v>1</v>
      </c>
      <c r="F71" s="2">
        <f t="shared" si="10"/>
        <v>0.99</v>
      </c>
      <c r="G71" s="2">
        <f t="shared" si="11"/>
        <v>1</v>
      </c>
      <c r="H71" s="2">
        <f>IF(G71=Training_Data!F71,1,0)</f>
        <v>1</v>
      </c>
    </row>
    <row r="72" spans="1:8" x14ac:dyDescent="0.2">
      <c r="A72" s="2">
        <f>$L$2+SUMPRODUCT($M$2:$Q$2,Training_Data!A72:E72)</f>
        <v>-14.725000000000001</v>
      </c>
      <c r="B72" s="2">
        <f t="shared" si="6"/>
        <v>-14.725000000000001</v>
      </c>
      <c r="C72" s="2">
        <f t="shared" si="7"/>
        <v>-14.725000000000001</v>
      </c>
      <c r="D72" s="2">
        <f t="shared" si="8"/>
        <v>4.0272962626262243E-7</v>
      </c>
      <c r="E72" s="2">
        <f t="shared" si="9"/>
        <v>0.01</v>
      </c>
      <c r="F72" s="2">
        <f t="shared" si="10"/>
        <v>0.01</v>
      </c>
      <c r="G72" s="2">
        <f t="shared" si="11"/>
        <v>0</v>
      </c>
      <c r="H72" s="2">
        <f>IF(G72=Training_Data!F72,1,0)</f>
        <v>0</v>
      </c>
    </row>
    <row r="73" spans="1:8" x14ac:dyDescent="0.2">
      <c r="A73" s="2">
        <f>$L$2+SUMPRODUCT($M$2:$Q$2,Training_Data!A73:E73)</f>
        <v>8582.7880000000005</v>
      </c>
      <c r="B73" s="2">
        <f t="shared" si="6"/>
        <v>8582.7880000000005</v>
      </c>
      <c r="C73" s="2">
        <f t="shared" si="7"/>
        <v>100</v>
      </c>
      <c r="D73" s="2">
        <f t="shared" si="8"/>
        <v>1</v>
      </c>
      <c r="E73" s="2">
        <f t="shared" si="9"/>
        <v>1</v>
      </c>
      <c r="F73" s="2">
        <f t="shared" si="10"/>
        <v>0.99</v>
      </c>
      <c r="G73" s="2">
        <f t="shared" si="11"/>
        <v>1</v>
      </c>
      <c r="H73" s="2">
        <f>IF(G73=Training_Data!F73,1,0)</f>
        <v>1</v>
      </c>
    </row>
    <row r="74" spans="1:8" x14ac:dyDescent="0.2">
      <c r="A74" s="2">
        <f>$L$2+SUMPRODUCT($M$2:$Q$2,Training_Data!A74:E74)</f>
        <v>-4.4469999999999983</v>
      </c>
      <c r="B74" s="2">
        <f t="shared" si="6"/>
        <v>-4.4469999999999983</v>
      </c>
      <c r="C74" s="2">
        <f t="shared" si="7"/>
        <v>-4.4469999999999983</v>
      </c>
      <c r="D74" s="2">
        <f t="shared" si="8"/>
        <v>1.1578034176319059E-2</v>
      </c>
      <c r="E74" s="2">
        <f t="shared" si="9"/>
        <v>1.1578034176319059E-2</v>
      </c>
      <c r="F74" s="2">
        <f t="shared" si="10"/>
        <v>1.1578034176319059E-2</v>
      </c>
      <c r="G74" s="2">
        <f t="shared" si="11"/>
        <v>0</v>
      </c>
      <c r="H74" s="2">
        <f>IF(G74=Training_Data!F74,1,0)</f>
        <v>0</v>
      </c>
    </row>
    <row r="75" spans="1:8" x14ac:dyDescent="0.2">
      <c r="A75" s="2">
        <f>$L$2+SUMPRODUCT($M$2:$Q$2,Training_Data!A75:E75)</f>
        <v>397.86</v>
      </c>
      <c r="B75" s="2">
        <f t="shared" si="6"/>
        <v>397.86</v>
      </c>
      <c r="C75" s="2">
        <f t="shared" si="7"/>
        <v>100</v>
      </c>
      <c r="D75" s="2">
        <f t="shared" si="8"/>
        <v>1</v>
      </c>
      <c r="E75" s="2">
        <f t="shared" si="9"/>
        <v>1</v>
      </c>
      <c r="F75" s="2">
        <f t="shared" si="10"/>
        <v>0.99</v>
      </c>
      <c r="G75" s="2">
        <f t="shared" si="11"/>
        <v>1</v>
      </c>
      <c r="H75" s="2">
        <f>IF(G75=Training_Data!F75,1,0)</f>
        <v>1</v>
      </c>
    </row>
    <row r="76" spans="1:8" x14ac:dyDescent="0.2">
      <c r="A76" s="2">
        <f>$L$2+SUMPRODUCT($M$2:$Q$2,Training_Data!A76:E76)</f>
        <v>206.41</v>
      </c>
      <c r="B76" s="2">
        <f t="shared" si="6"/>
        <v>206.41</v>
      </c>
      <c r="C76" s="2">
        <f t="shared" si="7"/>
        <v>100</v>
      </c>
      <c r="D76" s="2">
        <f t="shared" si="8"/>
        <v>1</v>
      </c>
      <c r="E76" s="2">
        <f t="shared" si="9"/>
        <v>1</v>
      </c>
      <c r="F76" s="2">
        <f t="shared" si="10"/>
        <v>0.99</v>
      </c>
      <c r="G76" s="2">
        <f t="shared" si="11"/>
        <v>1</v>
      </c>
      <c r="H76" s="2">
        <f>IF(G76=Training_Data!F76,1,0)</f>
        <v>0</v>
      </c>
    </row>
    <row r="77" spans="1:8" x14ac:dyDescent="0.2">
      <c r="A77" s="2">
        <f>$L$2+SUMPRODUCT($M$2:$Q$2,Training_Data!A77:E77)</f>
        <v>564.45299999999997</v>
      </c>
      <c r="B77" s="2">
        <f t="shared" si="6"/>
        <v>564.45299999999997</v>
      </c>
      <c r="C77" s="2">
        <f t="shared" si="7"/>
        <v>100</v>
      </c>
      <c r="D77" s="2">
        <f t="shared" si="8"/>
        <v>1</v>
      </c>
      <c r="E77" s="2">
        <f t="shared" si="9"/>
        <v>1</v>
      </c>
      <c r="F77" s="2">
        <f t="shared" si="10"/>
        <v>0.99</v>
      </c>
      <c r="G77" s="2">
        <f t="shared" si="11"/>
        <v>1</v>
      </c>
      <c r="H77" s="2">
        <f>IF(G77=Training_Data!F77,1,0)</f>
        <v>0</v>
      </c>
    </row>
    <row r="78" spans="1:8" x14ac:dyDescent="0.2">
      <c r="A78" s="2">
        <f>$L$2+SUMPRODUCT($M$2:$Q$2,Training_Data!A78:E78)</f>
        <v>197.78699999999998</v>
      </c>
      <c r="B78" s="2">
        <f t="shared" si="6"/>
        <v>197.78699999999998</v>
      </c>
      <c r="C78" s="2">
        <f t="shared" si="7"/>
        <v>100</v>
      </c>
      <c r="D78" s="2">
        <f t="shared" si="8"/>
        <v>1</v>
      </c>
      <c r="E78" s="2">
        <f t="shared" si="9"/>
        <v>1</v>
      </c>
      <c r="F78" s="2">
        <f t="shared" si="10"/>
        <v>0.99</v>
      </c>
      <c r="G78" s="2">
        <f t="shared" si="11"/>
        <v>1</v>
      </c>
      <c r="H78" s="2">
        <f>IF(G78=Training_Data!F78,1,0)</f>
        <v>0</v>
      </c>
    </row>
    <row r="79" spans="1:8" x14ac:dyDescent="0.2">
      <c r="A79" s="2">
        <f>$L$2+SUMPRODUCT($M$2:$Q$2,Training_Data!A79:E79)</f>
        <v>290.26</v>
      </c>
      <c r="B79" s="2">
        <f t="shared" si="6"/>
        <v>290.26</v>
      </c>
      <c r="C79" s="2">
        <f t="shared" si="7"/>
        <v>100</v>
      </c>
      <c r="D79" s="2">
        <f t="shared" si="8"/>
        <v>1</v>
      </c>
      <c r="E79" s="2">
        <f t="shared" si="9"/>
        <v>1</v>
      </c>
      <c r="F79" s="2">
        <f t="shared" si="10"/>
        <v>0.99</v>
      </c>
      <c r="G79" s="2">
        <f t="shared" si="11"/>
        <v>1</v>
      </c>
      <c r="H79" s="2">
        <f>IF(G79=Training_Data!F79,1,0)</f>
        <v>0</v>
      </c>
    </row>
    <row r="80" spans="1:8" x14ac:dyDescent="0.2">
      <c r="A80" s="2">
        <f>$L$2+SUMPRODUCT($M$2:$Q$2,Training_Data!A80:E80)</f>
        <v>189.25</v>
      </c>
      <c r="B80" s="2">
        <f t="shared" si="6"/>
        <v>189.25</v>
      </c>
      <c r="C80" s="2">
        <f t="shared" si="7"/>
        <v>100</v>
      </c>
      <c r="D80" s="2">
        <f t="shared" si="8"/>
        <v>1</v>
      </c>
      <c r="E80" s="2">
        <f t="shared" si="9"/>
        <v>1</v>
      </c>
      <c r="F80" s="2">
        <f t="shared" si="10"/>
        <v>0.99</v>
      </c>
      <c r="G80" s="2">
        <f t="shared" si="11"/>
        <v>1</v>
      </c>
      <c r="H80" s="2">
        <f>IF(G80=Training_Data!F80,1,0)</f>
        <v>0</v>
      </c>
    </row>
    <row r="81" spans="1:8" x14ac:dyDescent="0.2">
      <c r="A81" s="2">
        <f>$L$2+SUMPRODUCT($M$2:$Q$2,Training_Data!A81:E81)</f>
        <v>124.07800000000002</v>
      </c>
      <c r="B81" s="2">
        <f t="shared" si="6"/>
        <v>124.07800000000002</v>
      </c>
      <c r="C81" s="2">
        <f t="shared" si="7"/>
        <v>100</v>
      </c>
      <c r="D81" s="2">
        <f t="shared" si="8"/>
        <v>1</v>
      </c>
      <c r="E81" s="2">
        <f t="shared" si="9"/>
        <v>1</v>
      </c>
      <c r="F81" s="2">
        <f t="shared" si="10"/>
        <v>0.99</v>
      </c>
      <c r="G81" s="2">
        <f t="shared" si="11"/>
        <v>1</v>
      </c>
      <c r="H81" s="2">
        <f>IF(G81=Training_Data!F81,1,0)</f>
        <v>0</v>
      </c>
    </row>
    <row r="82" spans="1:8" x14ac:dyDescent="0.2">
      <c r="A82" s="2">
        <f>$L$2+SUMPRODUCT($M$2:$Q$2,Training_Data!A82:E82)</f>
        <v>465.09700000000004</v>
      </c>
      <c r="B82" s="2">
        <f t="shared" si="6"/>
        <v>465.09700000000004</v>
      </c>
      <c r="C82" s="2">
        <f t="shared" si="7"/>
        <v>100</v>
      </c>
      <c r="D82" s="2">
        <f t="shared" si="8"/>
        <v>1</v>
      </c>
      <c r="E82" s="2">
        <f t="shared" si="9"/>
        <v>1</v>
      </c>
      <c r="F82" s="2">
        <f t="shared" si="10"/>
        <v>0.99</v>
      </c>
      <c r="G82" s="2">
        <f t="shared" si="11"/>
        <v>1</v>
      </c>
      <c r="H82" s="2">
        <f>IF(G82=Training_Data!F82,1,0)</f>
        <v>0</v>
      </c>
    </row>
    <row r="83" spans="1:8" x14ac:dyDescent="0.2">
      <c r="A83" s="2">
        <f>$L$2+SUMPRODUCT($M$2:$Q$2,Training_Data!A83:E83)</f>
        <v>344.80300000000005</v>
      </c>
      <c r="B83" s="2">
        <f t="shared" si="6"/>
        <v>344.80300000000005</v>
      </c>
      <c r="C83" s="2">
        <f t="shared" si="7"/>
        <v>100</v>
      </c>
      <c r="D83" s="2">
        <f t="shared" si="8"/>
        <v>1</v>
      </c>
      <c r="E83" s="2">
        <f t="shared" si="9"/>
        <v>1</v>
      </c>
      <c r="F83" s="2">
        <f t="shared" si="10"/>
        <v>0.99</v>
      </c>
      <c r="G83" s="2">
        <f t="shared" si="11"/>
        <v>1</v>
      </c>
      <c r="H83" s="2">
        <f>IF(G83=Training_Data!F83,1,0)</f>
        <v>0</v>
      </c>
    </row>
    <row r="84" spans="1:8" x14ac:dyDescent="0.2">
      <c r="A84" s="2">
        <f>$L$2+SUMPRODUCT($M$2:$Q$2,Training_Data!A84:E84)</f>
        <v>242.36899999999997</v>
      </c>
      <c r="B84" s="2">
        <f t="shared" si="6"/>
        <v>242.36899999999997</v>
      </c>
      <c r="C84" s="2">
        <f t="shared" si="7"/>
        <v>100</v>
      </c>
      <c r="D84" s="2">
        <f t="shared" si="8"/>
        <v>1</v>
      </c>
      <c r="E84" s="2">
        <f t="shared" si="9"/>
        <v>1</v>
      </c>
      <c r="F84" s="2">
        <f t="shared" si="10"/>
        <v>0.99</v>
      </c>
      <c r="G84" s="2">
        <f t="shared" si="11"/>
        <v>1</v>
      </c>
      <c r="H84" s="2">
        <f>IF(G84=Training_Data!F84,1,0)</f>
        <v>0</v>
      </c>
    </row>
    <row r="85" spans="1:8" x14ac:dyDescent="0.2">
      <c r="A85" s="2">
        <f>$L$2+SUMPRODUCT($M$2:$Q$2,Training_Data!A85:E85)</f>
        <v>353.04699999999997</v>
      </c>
      <c r="B85" s="2">
        <f t="shared" si="6"/>
        <v>353.04699999999997</v>
      </c>
      <c r="C85" s="2">
        <f t="shared" si="7"/>
        <v>100</v>
      </c>
      <c r="D85" s="2">
        <f t="shared" si="8"/>
        <v>1</v>
      </c>
      <c r="E85" s="2">
        <f t="shared" si="9"/>
        <v>1</v>
      </c>
      <c r="F85" s="2">
        <f t="shared" si="10"/>
        <v>0.99</v>
      </c>
      <c r="G85" s="2">
        <f t="shared" si="11"/>
        <v>1</v>
      </c>
      <c r="H85" s="2">
        <f>IF(G85=Training_Data!F85,1,0)</f>
        <v>0</v>
      </c>
    </row>
    <row r="86" spans="1:8" x14ac:dyDescent="0.2">
      <c r="A86" s="2">
        <f>$L$2+SUMPRODUCT($M$2:$Q$2,Training_Data!A86:E86)</f>
        <v>238.059</v>
      </c>
      <c r="B86" s="2">
        <f t="shared" si="6"/>
        <v>238.059</v>
      </c>
      <c r="C86" s="2">
        <f t="shared" si="7"/>
        <v>100</v>
      </c>
      <c r="D86" s="2">
        <f t="shared" si="8"/>
        <v>1</v>
      </c>
      <c r="E86" s="2">
        <f t="shared" si="9"/>
        <v>1</v>
      </c>
      <c r="F86" s="2">
        <f t="shared" si="10"/>
        <v>0.99</v>
      </c>
      <c r="G86" s="2">
        <f t="shared" si="11"/>
        <v>1</v>
      </c>
      <c r="H86" s="2">
        <f>IF(G86=Training_Data!F86,1,0)</f>
        <v>0</v>
      </c>
    </row>
    <row r="87" spans="1:8" x14ac:dyDescent="0.2">
      <c r="A87" s="2">
        <f>$L$2+SUMPRODUCT($M$2:$Q$2,Training_Data!A87:E87)</f>
        <v>297.8</v>
      </c>
      <c r="B87" s="2">
        <f t="shared" si="6"/>
        <v>297.8</v>
      </c>
      <c r="C87" s="2">
        <f t="shared" si="7"/>
        <v>100</v>
      </c>
      <c r="D87" s="2">
        <f t="shared" si="8"/>
        <v>1</v>
      </c>
      <c r="E87" s="2">
        <f t="shared" si="9"/>
        <v>1</v>
      </c>
      <c r="F87" s="2">
        <f t="shared" si="10"/>
        <v>0.99</v>
      </c>
      <c r="G87" s="2">
        <f t="shared" si="11"/>
        <v>1</v>
      </c>
      <c r="H87" s="2">
        <f>IF(G87=Training_Data!F87,1,0)</f>
        <v>0</v>
      </c>
    </row>
    <row r="88" spans="1:8" x14ac:dyDescent="0.2">
      <c r="A88" s="2">
        <f>$L$2+SUMPRODUCT($M$2:$Q$2,Training_Data!A88:E88)</f>
        <v>180.29999999999998</v>
      </c>
      <c r="B88" s="2">
        <f t="shared" si="6"/>
        <v>180.29999999999998</v>
      </c>
      <c r="C88" s="2">
        <f t="shared" si="7"/>
        <v>100</v>
      </c>
      <c r="D88" s="2">
        <f t="shared" si="8"/>
        <v>1</v>
      </c>
      <c r="E88" s="2">
        <f t="shared" si="9"/>
        <v>1</v>
      </c>
      <c r="F88" s="2">
        <f t="shared" si="10"/>
        <v>0.99</v>
      </c>
      <c r="G88" s="2">
        <f t="shared" si="11"/>
        <v>1</v>
      </c>
      <c r="H88" s="2">
        <f>IF(G88=Training_Data!F88,1,0)</f>
        <v>0</v>
      </c>
    </row>
    <row r="89" spans="1:8" x14ac:dyDescent="0.2">
      <c r="A89" s="2">
        <f>$L$2+SUMPRODUCT($M$2:$Q$2,Training_Data!A89:E89)</f>
        <v>131.1</v>
      </c>
      <c r="B89" s="2">
        <f t="shared" si="6"/>
        <v>131.1</v>
      </c>
      <c r="C89" s="2">
        <f t="shared" si="7"/>
        <v>100</v>
      </c>
      <c r="D89" s="2">
        <f t="shared" si="8"/>
        <v>1</v>
      </c>
      <c r="E89" s="2">
        <f t="shared" si="9"/>
        <v>1</v>
      </c>
      <c r="F89" s="2">
        <f t="shared" si="10"/>
        <v>0.99</v>
      </c>
      <c r="G89" s="2">
        <f t="shared" si="11"/>
        <v>1</v>
      </c>
      <c r="H89" s="2">
        <f>IF(G89=Training_Data!F89,1,0)</f>
        <v>0</v>
      </c>
    </row>
    <row r="90" spans="1:8" x14ac:dyDescent="0.2">
      <c r="A90" s="2">
        <f>$L$2+SUMPRODUCT($M$2:$Q$2,Training_Data!A90:E90)</f>
        <v>167.422</v>
      </c>
      <c r="B90" s="2">
        <f t="shared" si="6"/>
        <v>167.422</v>
      </c>
      <c r="C90" s="2">
        <f t="shared" si="7"/>
        <v>100</v>
      </c>
      <c r="D90" s="2">
        <f t="shared" si="8"/>
        <v>1</v>
      </c>
      <c r="E90" s="2">
        <f t="shared" si="9"/>
        <v>1</v>
      </c>
      <c r="F90" s="2">
        <f t="shared" si="10"/>
        <v>0.99</v>
      </c>
      <c r="G90" s="2">
        <f t="shared" si="11"/>
        <v>1</v>
      </c>
      <c r="H90" s="2">
        <f>IF(G90=Training_Data!F90,1,0)</f>
        <v>0</v>
      </c>
    </row>
    <row r="91" spans="1:8" x14ac:dyDescent="0.2">
      <c r="A91" s="2">
        <f>$L$2+SUMPRODUCT($M$2:$Q$2,Training_Data!A91:E91)</f>
        <v>557.65600000000006</v>
      </c>
      <c r="B91" s="2">
        <f t="shared" si="6"/>
        <v>557.65600000000006</v>
      </c>
      <c r="C91" s="2">
        <f t="shared" si="7"/>
        <v>100</v>
      </c>
      <c r="D91" s="2">
        <f t="shared" si="8"/>
        <v>1</v>
      </c>
      <c r="E91" s="2">
        <f t="shared" si="9"/>
        <v>1</v>
      </c>
      <c r="F91" s="2">
        <f t="shared" si="10"/>
        <v>0.99</v>
      </c>
      <c r="G91" s="2">
        <f t="shared" si="11"/>
        <v>1</v>
      </c>
      <c r="H91" s="2">
        <f>IF(G91=Training_Data!F91,1,0)</f>
        <v>0</v>
      </c>
    </row>
    <row r="92" spans="1:8" x14ac:dyDescent="0.2">
      <c r="A92" s="2">
        <f>$L$2+SUMPRODUCT($M$2:$Q$2,Training_Data!A92:E92)</f>
        <v>704.82500000000005</v>
      </c>
      <c r="B92" s="2">
        <f t="shared" si="6"/>
        <v>704.82500000000005</v>
      </c>
      <c r="C92" s="2">
        <f t="shared" si="7"/>
        <v>100</v>
      </c>
      <c r="D92" s="2">
        <f t="shared" si="8"/>
        <v>1</v>
      </c>
      <c r="E92" s="2">
        <f t="shared" si="9"/>
        <v>1</v>
      </c>
      <c r="F92" s="2">
        <f t="shared" si="10"/>
        <v>0.99</v>
      </c>
      <c r="G92" s="2">
        <f t="shared" si="11"/>
        <v>1</v>
      </c>
      <c r="H92" s="2">
        <f>IF(G92=Training_Data!F92,1,0)</f>
        <v>0</v>
      </c>
    </row>
    <row r="93" spans="1:8" x14ac:dyDescent="0.2">
      <c r="A93" s="2">
        <f>$L$2+SUMPRODUCT($M$2:$Q$2,Training_Data!A93:E93)</f>
        <v>209.96600000000001</v>
      </c>
      <c r="B93" s="2">
        <f t="shared" si="6"/>
        <v>209.96600000000001</v>
      </c>
      <c r="C93" s="2">
        <f t="shared" si="7"/>
        <v>100</v>
      </c>
      <c r="D93" s="2">
        <f t="shared" si="8"/>
        <v>1</v>
      </c>
      <c r="E93" s="2">
        <f t="shared" si="9"/>
        <v>1</v>
      </c>
      <c r="F93" s="2">
        <f t="shared" si="10"/>
        <v>0.99</v>
      </c>
      <c r="G93" s="2">
        <f t="shared" si="11"/>
        <v>1</v>
      </c>
      <c r="H93" s="2">
        <f>IF(G93=Training_Data!F93,1,0)</f>
        <v>0</v>
      </c>
    </row>
    <row r="94" spans="1:8" x14ac:dyDescent="0.2">
      <c r="A94" s="2">
        <f>$L$2+SUMPRODUCT($M$2:$Q$2,Training_Data!A94:E94)</f>
        <v>222.79999999999998</v>
      </c>
      <c r="B94" s="2">
        <f t="shared" si="6"/>
        <v>222.79999999999998</v>
      </c>
      <c r="C94" s="2">
        <f t="shared" si="7"/>
        <v>100</v>
      </c>
      <c r="D94" s="2">
        <f t="shared" si="8"/>
        <v>1</v>
      </c>
      <c r="E94" s="2">
        <f t="shared" si="9"/>
        <v>1</v>
      </c>
      <c r="F94" s="2">
        <f t="shared" si="10"/>
        <v>0.99</v>
      </c>
      <c r="G94" s="2">
        <f t="shared" si="11"/>
        <v>1</v>
      </c>
      <c r="H94" s="2">
        <f>IF(G94=Training_Data!F94,1,0)</f>
        <v>0</v>
      </c>
    </row>
    <row r="95" spans="1:8" x14ac:dyDescent="0.2">
      <c r="A95" s="2">
        <f>$L$2+SUMPRODUCT($M$2:$Q$2,Training_Data!A95:E95)</f>
        <v>362.45000000000005</v>
      </c>
      <c r="B95" s="2">
        <f t="shared" si="6"/>
        <v>362.45000000000005</v>
      </c>
      <c r="C95" s="2">
        <f t="shared" si="7"/>
        <v>100</v>
      </c>
      <c r="D95" s="2">
        <f t="shared" si="8"/>
        <v>1</v>
      </c>
      <c r="E95" s="2">
        <f t="shared" si="9"/>
        <v>1</v>
      </c>
      <c r="F95" s="2">
        <f t="shared" si="10"/>
        <v>0.99</v>
      </c>
      <c r="G95" s="2">
        <f t="shared" si="11"/>
        <v>1</v>
      </c>
      <c r="H95" s="2">
        <f>IF(G95=Training_Data!F95,1,0)</f>
        <v>0</v>
      </c>
    </row>
    <row r="96" spans="1:8" x14ac:dyDescent="0.2">
      <c r="A96" s="2">
        <f>$L$2+SUMPRODUCT($M$2:$Q$2,Training_Data!A96:E96)</f>
        <v>1800.15</v>
      </c>
      <c r="B96" s="2">
        <f t="shared" si="6"/>
        <v>1800.15</v>
      </c>
      <c r="C96" s="2">
        <f t="shared" si="7"/>
        <v>100</v>
      </c>
      <c r="D96" s="2">
        <f t="shared" si="8"/>
        <v>1</v>
      </c>
      <c r="E96" s="2">
        <f t="shared" si="9"/>
        <v>1</v>
      </c>
      <c r="F96" s="2">
        <f t="shared" si="10"/>
        <v>0.99</v>
      </c>
      <c r="G96" s="2">
        <f t="shared" si="11"/>
        <v>1</v>
      </c>
      <c r="H96" s="2">
        <f>IF(G96=Training_Data!F96,1,0)</f>
        <v>0</v>
      </c>
    </row>
    <row r="97" spans="1:8" x14ac:dyDescent="0.2">
      <c r="A97" s="2">
        <f>$L$2+SUMPRODUCT($M$2:$Q$2,Training_Data!A97:E97)</f>
        <v>1468.45</v>
      </c>
      <c r="B97" s="2">
        <f t="shared" si="6"/>
        <v>1468.45</v>
      </c>
      <c r="C97" s="2">
        <f t="shared" si="7"/>
        <v>100</v>
      </c>
      <c r="D97" s="2">
        <f t="shared" si="8"/>
        <v>1</v>
      </c>
      <c r="E97" s="2">
        <f t="shared" si="9"/>
        <v>1</v>
      </c>
      <c r="F97" s="2">
        <f t="shared" si="10"/>
        <v>0.99</v>
      </c>
      <c r="G97" s="2">
        <f t="shared" si="11"/>
        <v>1</v>
      </c>
      <c r="H97" s="2">
        <f>IF(G97=Training_Data!F97,1,0)</f>
        <v>0</v>
      </c>
    </row>
    <row r="98" spans="1:8" x14ac:dyDescent="0.2">
      <c r="A98" s="2">
        <f>$L$2+SUMPRODUCT($M$2:$Q$2,Training_Data!A98:E98)</f>
        <v>120.47500000000001</v>
      </c>
      <c r="B98" s="2">
        <f t="shared" si="6"/>
        <v>120.47500000000001</v>
      </c>
      <c r="C98" s="2">
        <f t="shared" si="7"/>
        <v>100</v>
      </c>
      <c r="D98" s="2">
        <f t="shared" si="8"/>
        <v>1</v>
      </c>
      <c r="E98" s="2">
        <f t="shared" si="9"/>
        <v>1</v>
      </c>
      <c r="F98" s="2">
        <f t="shared" si="10"/>
        <v>0.99</v>
      </c>
      <c r="G98" s="2">
        <f t="shared" si="11"/>
        <v>1</v>
      </c>
      <c r="H98" s="2">
        <f>IF(G98=Training_Data!F98,1,0)</f>
        <v>0</v>
      </c>
    </row>
    <row r="99" spans="1:8" x14ac:dyDescent="0.2">
      <c r="A99" s="2">
        <f>$L$2+SUMPRODUCT($M$2:$Q$2,Training_Data!A99:E99)</f>
        <v>121.17200000000001</v>
      </c>
      <c r="B99" s="2">
        <f t="shared" si="6"/>
        <v>121.17200000000001</v>
      </c>
      <c r="C99" s="2">
        <f t="shared" si="7"/>
        <v>100</v>
      </c>
      <c r="D99" s="2">
        <f t="shared" si="8"/>
        <v>1</v>
      </c>
      <c r="E99" s="2">
        <f t="shared" si="9"/>
        <v>1</v>
      </c>
      <c r="F99" s="2">
        <f t="shared" si="10"/>
        <v>0.99</v>
      </c>
      <c r="G99" s="2">
        <f t="shared" si="11"/>
        <v>1</v>
      </c>
      <c r="H99" s="2">
        <f>IF(G99=Training_Data!F99,1,0)</f>
        <v>0</v>
      </c>
    </row>
    <row r="100" spans="1:8" x14ac:dyDescent="0.2">
      <c r="A100" s="2">
        <f>$L$2+SUMPRODUCT($M$2:$Q$2,Training_Data!A100:E100)</f>
        <v>184.64999999999998</v>
      </c>
      <c r="B100" s="2">
        <f t="shared" si="6"/>
        <v>184.64999999999998</v>
      </c>
      <c r="C100" s="2">
        <f t="shared" si="7"/>
        <v>100</v>
      </c>
      <c r="D100" s="2">
        <f t="shared" si="8"/>
        <v>1</v>
      </c>
      <c r="E100" s="2">
        <f t="shared" si="9"/>
        <v>1</v>
      </c>
      <c r="F100" s="2">
        <f t="shared" si="10"/>
        <v>0.99</v>
      </c>
      <c r="G100" s="2">
        <f t="shared" si="11"/>
        <v>1</v>
      </c>
      <c r="H100" s="2">
        <f>IF(G100=Training_Data!F100,1,0)</f>
        <v>0</v>
      </c>
    </row>
    <row r="101" spans="1:8" x14ac:dyDescent="0.2">
      <c r="A101" s="2">
        <f>$L$2+SUMPRODUCT($M$2:$Q$2,Training_Data!A101:E101)</f>
        <v>96.302999999999997</v>
      </c>
      <c r="B101" s="2">
        <f t="shared" si="6"/>
        <v>96.302999999999997</v>
      </c>
      <c r="C101" s="2">
        <f t="shared" si="7"/>
        <v>96.302999999999997</v>
      </c>
      <c r="D101" s="2">
        <f t="shared" si="8"/>
        <v>1</v>
      </c>
      <c r="E101" s="2">
        <f t="shared" si="9"/>
        <v>1</v>
      </c>
      <c r="F101" s="2">
        <f t="shared" si="10"/>
        <v>0.99</v>
      </c>
      <c r="G101" s="2">
        <f t="shared" si="11"/>
        <v>1</v>
      </c>
      <c r="H101" s="2">
        <f>IF(G101=Training_Data!F101,1,0)</f>
        <v>0</v>
      </c>
    </row>
    <row r="102" spans="1:8" x14ac:dyDescent="0.2">
      <c r="A102" s="2">
        <f>$L$2+SUMPRODUCT($M$2:$Q$2,Training_Data!A102:E102)</f>
        <v>603.05300000000011</v>
      </c>
      <c r="B102" s="2">
        <f t="shared" si="6"/>
        <v>603.05300000000011</v>
      </c>
      <c r="C102" s="2">
        <f t="shared" si="7"/>
        <v>100</v>
      </c>
      <c r="D102" s="2">
        <f t="shared" si="8"/>
        <v>1</v>
      </c>
      <c r="E102" s="2">
        <f t="shared" si="9"/>
        <v>1</v>
      </c>
      <c r="F102" s="2">
        <f t="shared" si="10"/>
        <v>0.99</v>
      </c>
      <c r="G102" s="2">
        <f t="shared" si="11"/>
        <v>1</v>
      </c>
      <c r="H102" s="2">
        <f>IF(G102=Training_Data!F102,1,0)</f>
        <v>0</v>
      </c>
    </row>
    <row r="103" spans="1:8" x14ac:dyDescent="0.2">
      <c r="A103" s="2">
        <f>$L$2+SUMPRODUCT($M$2:$Q$2,Training_Data!A103:E103)</f>
        <v>346.28800000000001</v>
      </c>
      <c r="B103" s="2">
        <f t="shared" si="6"/>
        <v>346.28800000000001</v>
      </c>
      <c r="C103" s="2">
        <f t="shared" si="7"/>
        <v>100</v>
      </c>
      <c r="D103" s="2">
        <f t="shared" si="8"/>
        <v>1</v>
      </c>
      <c r="E103" s="2">
        <f t="shared" si="9"/>
        <v>1</v>
      </c>
      <c r="F103" s="2">
        <f t="shared" si="10"/>
        <v>0.99</v>
      </c>
      <c r="G103" s="2">
        <f t="shared" si="11"/>
        <v>1</v>
      </c>
      <c r="H103" s="2">
        <f>IF(G103=Training_Data!F103,1,0)</f>
        <v>0</v>
      </c>
    </row>
    <row r="104" spans="1:8" x14ac:dyDescent="0.2">
      <c r="A104" s="2">
        <f>$L$2+SUMPRODUCT($M$2:$Q$2,Training_Data!A104:E104)</f>
        <v>170.5</v>
      </c>
      <c r="B104" s="2">
        <f t="shared" si="6"/>
        <v>170.5</v>
      </c>
      <c r="C104" s="2">
        <f t="shared" si="7"/>
        <v>100</v>
      </c>
      <c r="D104" s="2">
        <f t="shared" si="8"/>
        <v>1</v>
      </c>
      <c r="E104" s="2">
        <f t="shared" si="9"/>
        <v>1</v>
      </c>
      <c r="F104" s="2">
        <f t="shared" si="10"/>
        <v>0.99</v>
      </c>
      <c r="G104" s="2">
        <f t="shared" si="11"/>
        <v>1</v>
      </c>
      <c r="H104" s="2">
        <f>IF(G104=Training_Data!F104,1,0)</f>
        <v>0</v>
      </c>
    </row>
    <row r="105" spans="1:8" x14ac:dyDescent="0.2">
      <c r="A105" s="2">
        <f>$L$2+SUMPRODUCT($M$2:$Q$2,Training_Data!A105:E105)</f>
        <v>219.62199999999999</v>
      </c>
      <c r="B105" s="2">
        <f t="shared" si="6"/>
        <v>219.62199999999999</v>
      </c>
      <c r="C105" s="2">
        <f t="shared" si="7"/>
        <v>100</v>
      </c>
      <c r="D105" s="2">
        <f t="shared" si="8"/>
        <v>1</v>
      </c>
      <c r="E105" s="2">
        <f t="shared" si="9"/>
        <v>1</v>
      </c>
      <c r="F105" s="2">
        <f t="shared" si="10"/>
        <v>0.99</v>
      </c>
      <c r="G105" s="2">
        <f t="shared" si="11"/>
        <v>1</v>
      </c>
      <c r="H105" s="2">
        <f>IF(G105=Training_Data!F105,1,0)</f>
        <v>0</v>
      </c>
    </row>
    <row r="106" spans="1:8" x14ac:dyDescent="0.2">
      <c r="A106" s="2">
        <f>$L$2+SUMPRODUCT($M$2:$Q$2,Training_Data!A106:E106)</f>
        <v>188.00599999999997</v>
      </c>
      <c r="B106" s="2">
        <f t="shared" si="6"/>
        <v>188.00599999999997</v>
      </c>
      <c r="C106" s="2">
        <f t="shared" si="7"/>
        <v>100</v>
      </c>
      <c r="D106" s="2">
        <f t="shared" si="8"/>
        <v>1</v>
      </c>
      <c r="E106" s="2">
        <f t="shared" si="9"/>
        <v>1</v>
      </c>
      <c r="F106" s="2">
        <f t="shared" si="10"/>
        <v>0.99</v>
      </c>
      <c r="G106" s="2">
        <f t="shared" si="11"/>
        <v>1</v>
      </c>
      <c r="H106" s="2">
        <f>IF(G106=Training_Data!F106,1,0)</f>
        <v>0</v>
      </c>
    </row>
    <row r="107" spans="1:8" x14ac:dyDescent="0.2">
      <c r="A107" s="2">
        <f>$L$2+SUMPRODUCT($M$2:$Q$2,Training_Data!A107:E107)</f>
        <v>420.14699999999999</v>
      </c>
      <c r="B107" s="2">
        <f t="shared" si="6"/>
        <v>420.14699999999999</v>
      </c>
      <c r="C107" s="2">
        <f t="shared" si="7"/>
        <v>100</v>
      </c>
      <c r="D107" s="2">
        <f t="shared" si="8"/>
        <v>1</v>
      </c>
      <c r="E107" s="2">
        <f t="shared" si="9"/>
        <v>1</v>
      </c>
      <c r="F107" s="2">
        <f t="shared" si="10"/>
        <v>0.99</v>
      </c>
      <c r="G107" s="2">
        <f t="shared" si="11"/>
        <v>1</v>
      </c>
      <c r="H107" s="2">
        <f>IF(G107=Training_Data!F107,1,0)</f>
        <v>0</v>
      </c>
    </row>
    <row r="108" spans="1:8" x14ac:dyDescent="0.2">
      <c r="A108" s="2">
        <f>$L$2+SUMPRODUCT($M$2:$Q$2,Training_Data!A108:E108)</f>
        <v>690.23800000000006</v>
      </c>
      <c r="B108" s="2">
        <f t="shared" si="6"/>
        <v>690.23800000000006</v>
      </c>
      <c r="C108" s="2">
        <f t="shared" si="7"/>
        <v>100</v>
      </c>
      <c r="D108" s="2">
        <f t="shared" si="8"/>
        <v>1</v>
      </c>
      <c r="E108" s="2">
        <f t="shared" si="9"/>
        <v>1</v>
      </c>
      <c r="F108" s="2">
        <f t="shared" si="10"/>
        <v>0.99</v>
      </c>
      <c r="G108" s="2">
        <f t="shared" si="11"/>
        <v>1</v>
      </c>
      <c r="H108" s="2">
        <f>IF(G108=Training_Data!F108,1,0)</f>
        <v>0</v>
      </c>
    </row>
    <row r="109" spans="1:8" x14ac:dyDescent="0.2">
      <c r="A109" s="2">
        <f>$L$2+SUMPRODUCT($M$2:$Q$2,Training_Data!A109:E109)</f>
        <v>349.65300000000002</v>
      </c>
      <c r="B109" s="2">
        <f t="shared" si="6"/>
        <v>349.65300000000002</v>
      </c>
      <c r="C109" s="2">
        <f t="shared" si="7"/>
        <v>100</v>
      </c>
      <c r="D109" s="2">
        <f t="shared" si="8"/>
        <v>1</v>
      </c>
      <c r="E109" s="2">
        <f t="shared" si="9"/>
        <v>1</v>
      </c>
      <c r="F109" s="2">
        <f t="shared" si="10"/>
        <v>0.99</v>
      </c>
      <c r="G109" s="2">
        <f t="shared" si="11"/>
        <v>1</v>
      </c>
      <c r="H109" s="2">
        <f>IF(G109=Training_Data!F109,1,0)</f>
        <v>0</v>
      </c>
    </row>
    <row r="110" spans="1:8" x14ac:dyDescent="0.2">
      <c r="A110" s="2">
        <f>$L$2+SUMPRODUCT($M$2:$Q$2,Training_Data!A110:E110)</f>
        <v>253.375</v>
      </c>
      <c r="B110" s="2">
        <f t="shared" si="6"/>
        <v>253.375</v>
      </c>
      <c r="C110" s="2">
        <f t="shared" si="7"/>
        <v>100</v>
      </c>
      <c r="D110" s="2">
        <f t="shared" si="8"/>
        <v>1</v>
      </c>
      <c r="E110" s="2">
        <f t="shared" si="9"/>
        <v>1</v>
      </c>
      <c r="F110" s="2">
        <f t="shared" si="10"/>
        <v>0.99</v>
      </c>
      <c r="G110" s="2">
        <f t="shared" si="11"/>
        <v>1</v>
      </c>
      <c r="H110" s="2">
        <f>IF(G110=Training_Data!F110,1,0)</f>
        <v>0</v>
      </c>
    </row>
    <row r="111" spans="1:8" x14ac:dyDescent="0.2">
      <c r="A111" s="2">
        <f>$L$2+SUMPRODUCT($M$2:$Q$2,Training_Data!A111:E111)</f>
        <v>845.322</v>
      </c>
      <c r="B111" s="2">
        <f t="shared" si="6"/>
        <v>845.322</v>
      </c>
      <c r="C111" s="2">
        <f t="shared" si="7"/>
        <v>100</v>
      </c>
      <c r="D111" s="2">
        <f t="shared" si="8"/>
        <v>1</v>
      </c>
      <c r="E111" s="2">
        <f t="shared" si="9"/>
        <v>1</v>
      </c>
      <c r="F111" s="2">
        <f t="shared" si="10"/>
        <v>0.99</v>
      </c>
      <c r="G111" s="2">
        <f t="shared" si="11"/>
        <v>1</v>
      </c>
      <c r="H111" s="2">
        <f>IF(G111=Training_Data!F111,1,0)</f>
        <v>0</v>
      </c>
    </row>
    <row r="112" spans="1:8" x14ac:dyDescent="0.2">
      <c r="A112" s="2">
        <f>$L$2+SUMPRODUCT($M$2:$Q$2,Training_Data!A112:E112)</f>
        <v>246.61899999999997</v>
      </c>
      <c r="B112" s="2">
        <f t="shared" si="6"/>
        <v>246.61899999999997</v>
      </c>
      <c r="C112" s="2">
        <f t="shared" si="7"/>
        <v>100</v>
      </c>
      <c r="D112" s="2">
        <f t="shared" si="8"/>
        <v>1</v>
      </c>
      <c r="E112" s="2">
        <f t="shared" si="9"/>
        <v>1</v>
      </c>
      <c r="F112" s="2">
        <f t="shared" si="10"/>
        <v>0.99</v>
      </c>
      <c r="G112" s="2">
        <f t="shared" si="11"/>
        <v>1</v>
      </c>
      <c r="H112" s="2">
        <f>IF(G112=Training_Data!F112,1,0)</f>
        <v>0</v>
      </c>
    </row>
    <row r="113" spans="1:8" x14ac:dyDescent="0.2">
      <c r="A113" s="2">
        <f>$L$2+SUMPRODUCT($M$2:$Q$2,Training_Data!A113:E113)</f>
        <v>412.82499999999999</v>
      </c>
      <c r="B113" s="2">
        <f t="shared" si="6"/>
        <v>412.82499999999999</v>
      </c>
      <c r="C113" s="2">
        <f t="shared" si="7"/>
        <v>100</v>
      </c>
      <c r="D113" s="2">
        <f t="shared" si="8"/>
        <v>1</v>
      </c>
      <c r="E113" s="2">
        <f t="shared" si="9"/>
        <v>1</v>
      </c>
      <c r="F113" s="2">
        <f t="shared" si="10"/>
        <v>0.99</v>
      </c>
      <c r="G113" s="2">
        <f t="shared" si="11"/>
        <v>1</v>
      </c>
      <c r="H113" s="2">
        <f>IF(G113=Training_Data!F113,1,0)</f>
        <v>0</v>
      </c>
    </row>
    <row r="114" spans="1:8" x14ac:dyDescent="0.2">
      <c r="A114" s="2">
        <f>$L$2+SUMPRODUCT($M$2:$Q$2,Training_Data!A114:E114)</f>
        <v>35829.472000000002</v>
      </c>
      <c r="B114" s="2">
        <f t="shared" si="6"/>
        <v>35829.472000000002</v>
      </c>
      <c r="C114" s="2">
        <f t="shared" si="7"/>
        <v>100</v>
      </c>
      <c r="D114" s="2">
        <f t="shared" si="8"/>
        <v>1</v>
      </c>
      <c r="E114" s="2">
        <f t="shared" si="9"/>
        <v>1</v>
      </c>
      <c r="F114" s="2">
        <f t="shared" si="10"/>
        <v>0.99</v>
      </c>
      <c r="G114" s="2">
        <f t="shared" si="11"/>
        <v>1</v>
      </c>
      <c r="H114" s="2">
        <f>IF(G114=Training_Data!F114,1,0)</f>
        <v>1</v>
      </c>
    </row>
    <row r="115" spans="1:8" x14ac:dyDescent="0.2">
      <c r="A115" s="2">
        <f>$L$2+SUMPRODUCT($M$2:$Q$2,Training_Data!A115:E115)</f>
        <v>4723.741</v>
      </c>
      <c r="B115" s="2">
        <f t="shared" si="6"/>
        <v>4723.741</v>
      </c>
      <c r="C115" s="2">
        <f t="shared" si="7"/>
        <v>100</v>
      </c>
      <c r="D115" s="2">
        <f t="shared" si="8"/>
        <v>1</v>
      </c>
      <c r="E115" s="2">
        <f t="shared" si="9"/>
        <v>1</v>
      </c>
      <c r="F115" s="2">
        <f t="shared" si="10"/>
        <v>0.99</v>
      </c>
      <c r="G115" s="2">
        <f t="shared" si="11"/>
        <v>1</v>
      </c>
      <c r="H115" s="2">
        <f>IF(G115=Training_Data!F115,1,0)</f>
        <v>1</v>
      </c>
    </row>
    <row r="116" spans="1:8" x14ac:dyDescent="0.2">
      <c r="A116" s="2">
        <f>$L$2+SUMPRODUCT($M$2:$Q$2,Training_Data!A116:E116)</f>
        <v>273.36500000000001</v>
      </c>
      <c r="B116" s="2">
        <f t="shared" si="6"/>
        <v>273.36500000000001</v>
      </c>
      <c r="C116" s="2">
        <f t="shared" si="7"/>
        <v>100</v>
      </c>
      <c r="D116" s="2">
        <f t="shared" si="8"/>
        <v>1</v>
      </c>
      <c r="E116" s="2">
        <f t="shared" si="9"/>
        <v>1</v>
      </c>
      <c r="F116" s="2">
        <f t="shared" si="10"/>
        <v>0.99</v>
      </c>
      <c r="G116" s="2">
        <f t="shared" si="11"/>
        <v>1</v>
      </c>
      <c r="H116" s="2">
        <f>IF(G116=Training_Data!F116,1,0)</f>
        <v>1</v>
      </c>
    </row>
    <row r="117" spans="1:8" x14ac:dyDescent="0.2">
      <c r="A117" s="2">
        <f>$L$2+SUMPRODUCT($M$2:$Q$2,Training_Data!A117:E117)</f>
        <v>1202.5060000000001</v>
      </c>
      <c r="B117" s="2">
        <f t="shared" si="6"/>
        <v>1202.5060000000001</v>
      </c>
      <c r="C117" s="2">
        <f t="shared" si="7"/>
        <v>100</v>
      </c>
      <c r="D117" s="2">
        <f t="shared" si="8"/>
        <v>1</v>
      </c>
      <c r="E117" s="2">
        <f t="shared" si="9"/>
        <v>1</v>
      </c>
      <c r="F117" s="2">
        <f t="shared" si="10"/>
        <v>0.99</v>
      </c>
      <c r="G117" s="2">
        <f t="shared" si="11"/>
        <v>1</v>
      </c>
      <c r="H117" s="2">
        <f>IF(G117=Training_Data!F117,1,0)</f>
        <v>1</v>
      </c>
    </row>
    <row r="118" spans="1:8" x14ac:dyDescent="0.2">
      <c r="A118" s="2">
        <f>$L$2+SUMPRODUCT($M$2:$Q$2,Training_Data!A118:E118)</f>
        <v>1018.875</v>
      </c>
      <c r="B118" s="2">
        <f t="shared" si="6"/>
        <v>1018.875</v>
      </c>
      <c r="C118" s="2">
        <f t="shared" si="7"/>
        <v>100</v>
      </c>
      <c r="D118" s="2">
        <f t="shared" si="8"/>
        <v>1</v>
      </c>
      <c r="E118" s="2">
        <f t="shared" si="9"/>
        <v>1</v>
      </c>
      <c r="F118" s="2">
        <f t="shared" si="10"/>
        <v>0.99</v>
      </c>
      <c r="G118" s="2">
        <f t="shared" si="11"/>
        <v>1</v>
      </c>
      <c r="H118" s="2">
        <f>IF(G118=Training_Data!F118,1,0)</f>
        <v>1</v>
      </c>
    </row>
    <row r="119" spans="1:8" x14ac:dyDescent="0.2">
      <c r="A119" s="2">
        <f>$L$2+SUMPRODUCT($M$2:$Q$2,Training_Data!A119:E119)</f>
        <v>1983.0250000000001</v>
      </c>
      <c r="B119" s="2">
        <f t="shared" si="6"/>
        <v>1983.0250000000001</v>
      </c>
      <c r="C119" s="2">
        <f t="shared" si="7"/>
        <v>100</v>
      </c>
      <c r="D119" s="2">
        <f t="shared" si="8"/>
        <v>1</v>
      </c>
      <c r="E119" s="2">
        <f t="shared" si="9"/>
        <v>1</v>
      </c>
      <c r="F119" s="2">
        <f t="shared" si="10"/>
        <v>0.99</v>
      </c>
      <c r="G119" s="2">
        <f t="shared" si="11"/>
        <v>1</v>
      </c>
      <c r="H119" s="2">
        <f>IF(G119=Training_Data!F119,1,0)</f>
        <v>1</v>
      </c>
    </row>
    <row r="120" spans="1:8" x14ac:dyDescent="0.2">
      <c r="A120" s="2">
        <f>$L$2+SUMPRODUCT($M$2:$Q$2,Training_Data!A120:E120)</f>
        <v>-7.1149999999999958</v>
      </c>
      <c r="B120" s="2">
        <f t="shared" si="6"/>
        <v>-7.1149999999999958</v>
      </c>
      <c r="C120" s="2">
        <f t="shared" si="7"/>
        <v>-7.1149999999999958</v>
      </c>
      <c r="D120" s="2">
        <f t="shared" si="8"/>
        <v>8.1216057040196256E-4</v>
      </c>
      <c r="E120" s="2">
        <f t="shared" si="9"/>
        <v>0.01</v>
      </c>
      <c r="F120" s="2">
        <f t="shared" si="10"/>
        <v>0.01</v>
      </c>
      <c r="G120" s="2">
        <f t="shared" si="11"/>
        <v>0</v>
      </c>
      <c r="H120" s="2">
        <f>IF(G120=Training_Data!F120,1,0)</f>
        <v>0</v>
      </c>
    </row>
    <row r="121" spans="1:8" x14ac:dyDescent="0.2">
      <c r="A121" s="2">
        <f>$L$2+SUMPRODUCT($M$2:$Q$2,Training_Data!A121:E121)</f>
        <v>174.64999999999998</v>
      </c>
      <c r="B121" s="2">
        <f t="shared" si="6"/>
        <v>174.64999999999998</v>
      </c>
      <c r="C121" s="2">
        <f t="shared" si="7"/>
        <v>100</v>
      </c>
      <c r="D121" s="2">
        <f t="shared" si="8"/>
        <v>1</v>
      </c>
      <c r="E121" s="2">
        <f t="shared" si="9"/>
        <v>1</v>
      </c>
      <c r="F121" s="2">
        <f t="shared" si="10"/>
        <v>0.99</v>
      </c>
      <c r="G121" s="2">
        <f t="shared" si="11"/>
        <v>1</v>
      </c>
      <c r="H121" s="2">
        <f>IF(G121=Training_Data!F121,1,0)</f>
        <v>1</v>
      </c>
    </row>
    <row r="122" spans="1:8" x14ac:dyDescent="0.2">
      <c r="A122" s="2">
        <f>$L$2+SUMPRODUCT($M$2:$Q$2,Training_Data!A122:E122)</f>
        <v>3197.7719999999999</v>
      </c>
      <c r="B122" s="2">
        <f t="shared" si="6"/>
        <v>3197.7719999999999</v>
      </c>
      <c r="C122" s="2">
        <f t="shared" si="7"/>
        <v>100</v>
      </c>
      <c r="D122" s="2">
        <f t="shared" si="8"/>
        <v>1</v>
      </c>
      <c r="E122" s="2">
        <f t="shared" si="9"/>
        <v>1</v>
      </c>
      <c r="F122" s="2">
        <f t="shared" si="10"/>
        <v>0.99</v>
      </c>
      <c r="G122" s="2">
        <f t="shared" si="11"/>
        <v>1</v>
      </c>
      <c r="H122" s="2">
        <f>IF(G122=Training_Data!F122,1,0)</f>
        <v>1</v>
      </c>
    </row>
    <row r="123" spans="1:8" x14ac:dyDescent="0.2">
      <c r="A123" s="2">
        <f>$L$2+SUMPRODUCT($M$2:$Q$2,Training_Data!A123:E123)</f>
        <v>8536.7970000000005</v>
      </c>
      <c r="B123" s="2">
        <f t="shared" si="6"/>
        <v>8536.7970000000005</v>
      </c>
      <c r="C123" s="2">
        <f t="shared" si="7"/>
        <v>100</v>
      </c>
      <c r="D123" s="2">
        <f t="shared" si="8"/>
        <v>1</v>
      </c>
      <c r="E123" s="2">
        <f t="shared" si="9"/>
        <v>1</v>
      </c>
      <c r="F123" s="2">
        <f t="shared" si="10"/>
        <v>0.99</v>
      </c>
      <c r="G123" s="2">
        <f t="shared" si="11"/>
        <v>1</v>
      </c>
      <c r="H123" s="2">
        <f>IF(G123=Training_Data!F123,1,0)</f>
        <v>1</v>
      </c>
    </row>
    <row r="124" spans="1:8" x14ac:dyDescent="0.2">
      <c r="A124" s="2">
        <f>$L$2+SUMPRODUCT($M$2:$Q$2,Training_Data!A124:E124)</f>
        <v>2731.7249999999999</v>
      </c>
      <c r="B124" s="2">
        <f t="shared" si="6"/>
        <v>2731.7249999999999</v>
      </c>
      <c r="C124" s="2">
        <f t="shared" si="7"/>
        <v>100</v>
      </c>
      <c r="D124" s="2">
        <f t="shared" si="8"/>
        <v>1</v>
      </c>
      <c r="E124" s="2">
        <f t="shared" si="9"/>
        <v>1</v>
      </c>
      <c r="F124" s="2">
        <f t="shared" si="10"/>
        <v>0.99</v>
      </c>
      <c r="G124" s="2">
        <f t="shared" si="11"/>
        <v>1</v>
      </c>
      <c r="H124" s="2">
        <f>IF(G124=Training_Data!F124,1,0)</f>
        <v>1</v>
      </c>
    </row>
    <row r="125" spans="1:8" x14ac:dyDescent="0.2">
      <c r="A125" s="2">
        <f>$L$2+SUMPRODUCT($M$2:$Q$2,Training_Data!A125:E125)</f>
        <v>2297.1219999999998</v>
      </c>
      <c r="B125" s="2">
        <f t="shared" si="6"/>
        <v>2297.1219999999998</v>
      </c>
      <c r="C125" s="2">
        <f t="shared" si="7"/>
        <v>100</v>
      </c>
      <c r="D125" s="2">
        <f t="shared" si="8"/>
        <v>1</v>
      </c>
      <c r="E125" s="2">
        <f t="shared" si="9"/>
        <v>1</v>
      </c>
      <c r="F125" s="2">
        <f t="shared" si="10"/>
        <v>0.99</v>
      </c>
      <c r="G125" s="2">
        <f t="shared" si="11"/>
        <v>1</v>
      </c>
      <c r="H125" s="2">
        <f>IF(G125=Training_Data!F125,1,0)</f>
        <v>1</v>
      </c>
    </row>
    <row r="126" spans="1:8" x14ac:dyDescent="0.2">
      <c r="A126" s="2">
        <f>$L$2+SUMPRODUCT($M$2:$Q$2,Training_Data!A126:E126)</f>
        <v>352.32499999999999</v>
      </c>
      <c r="B126" s="2">
        <f t="shared" si="6"/>
        <v>352.32499999999999</v>
      </c>
      <c r="C126" s="2">
        <f t="shared" si="7"/>
        <v>100</v>
      </c>
      <c r="D126" s="2">
        <f t="shared" si="8"/>
        <v>1</v>
      </c>
      <c r="E126" s="2">
        <f t="shared" si="9"/>
        <v>1</v>
      </c>
      <c r="F126" s="2">
        <f t="shared" si="10"/>
        <v>0.99</v>
      </c>
      <c r="G126" s="2">
        <f t="shared" si="11"/>
        <v>1</v>
      </c>
      <c r="H126" s="2">
        <f>IF(G126=Training_Data!F126,1,0)</f>
        <v>1</v>
      </c>
    </row>
    <row r="127" spans="1:8" x14ac:dyDescent="0.2">
      <c r="A127" s="2">
        <f>$L$2+SUMPRODUCT($M$2:$Q$2,Training_Data!A127:E127)</f>
        <v>-20.774999999999999</v>
      </c>
      <c r="B127" s="2">
        <f t="shared" si="6"/>
        <v>-20.774999999999999</v>
      </c>
      <c r="C127" s="2">
        <f t="shared" si="7"/>
        <v>-20.774999999999999</v>
      </c>
      <c r="D127" s="2">
        <f t="shared" si="8"/>
        <v>9.4958126617545518E-10</v>
      </c>
      <c r="E127" s="2">
        <f t="shared" si="9"/>
        <v>0.01</v>
      </c>
      <c r="F127" s="2">
        <f t="shared" si="10"/>
        <v>0.01</v>
      </c>
      <c r="G127" s="2">
        <f t="shared" si="11"/>
        <v>0</v>
      </c>
      <c r="H127" s="2">
        <f>IF(G127=Training_Data!F127,1,0)</f>
        <v>0</v>
      </c>
    </row>
    <row r="128" spans="1:8" x14ac:dyDescent="0.2">
      <c r="A128" s="2">
        <f>$L$2+SUMPRODUCT($M$2:$Q$2,Training_Data!A128:E128)</f>
        <v>604.40900000000011</v>
      </c>
      <c r="B128" s="2">
        <f t="shared" si="6"/>
        <v>604.40900000000011</v>
      </c>
      <c r="C128" s="2">
        <f t="shared" si="7"/>
        <v>100</v>
      </c>
      <c r="D128" s="2">
        <f t="shared" si="8"/>
        <v>1</v>
      </c>
      <c r="E128" s="2">
        <f t="shared" si="9"/>
        <v>1</v>
      </c>
      <c r="F128" s="2">
        <f t="shared" si="10"/>
        <v>0.99</v>
      </c>
      <c r="G128" s="2">
        <f t="shared" si="11"/>
        <v>1</v>
      </c>
      <c r="H128" s="2">
        <f>IF(G128=Training_Data!F128,1,0)</f>
        <v>1</v>
      </c>
    </row>
    <row r="129" spans="1:8" x14ac:dyDescent="0.2">
      <c r="A129" s="2">
        <f>$L$2+SUMPRODUCT($M$2:$Q$2,Training_Data!A129:E129)</f>
        <v>163998.82200000001</v>
      </c>
      <c r="B129" s="2">
        <f t="shared" si="6"/>
        <v>163998.82200000001</v>
      </c>
      <c r="C129" s="2">
        <f t="shared" si="7"/>
        <v>100</v>
      </c>
      <c r="D129" s="2">
        <f t="shared" si="8"/>
        <v>1</v>
      </c>
      <c r="E129" s="2">
        <f t="shared" si="9"/>
        <v>1</v>
      </c>
      <c r="F129" s="2">
        <f t="shared" si="10"/>
        <v>0.99</v>
      </c>
      <c r="G129" s="2">
        <f t="shared" si="11"/>
        <v>1</v>
      </c>
      <c r="H129" s="2">
        <f>IF(G129=Training_Data!F129,1,0)</f>
        <v>1</v>
      </c>
    </row>
    <row r="130" spans="1:8" x14ac:dyDescent="0.2">
      <c r="A130" s="2">
        <f>$L$2+SUMPRODUCT($M$2:$Q$2,Training_Data!A130:E130)</f>
        <v>1161.9750000000001</v>
      </c>
      <c r="B130" s="2">
        <f t="shared" si="6"/>
        <v>1161.9750000000001</v>
      </c>
      <c r="C130" s="2">
        <f t="shared" si="7"/>
        <v>100</v>
      </c>
      <c r="D130" s="2">
        <f t="shared" si="8"/>
        <v>1</v>
      </c>
      <c r="E130" s="2">
        <f t="shared" si="9"/>
        <v>1</v>
      </c>
      <c r="F130" s="2">
        <f t="shared" si="10"/>
        <v>0.99</v>
      </c>
      <c r="G130" s="2">
        <f t="shared" si="11"/>
        <v>1</v>
      </c>
      <c r="H130" s="2">
        <f>IF(G130=Training_Data!F130,1,0)</f>
        <v>1</v>
      </c>
    </row>
    <row r="131" spans="1:8" x14ac:dyDescent="0.2">
      <c r="A131" s="2">
        <f>$L$2+SUMPRODUCT($M$2:$Q$2,Training_Data!A131:E131)</f>
        <v>3727.6969999999997</v>
      </c>
      <c r="B131" s="2">
        <f t="shared" ref="B131:B194" si="12">IF(A131&lt;-100,-100,A131)</f>
        <v>3727.6969999999997</v>
      </c>
      <c r="C131" s="2">
        <f t="shared" ref="C131:C194" si="13">IF(B131&gt;100,100,B131)</f>
        <v>100</v>
      </c>
      <c r="D131" s="2">
        <f t="shared" ref="D131:D194" si="14">1/(1+EXP(-C131))</f>
        <v>1</v>
      </c>
      <c r="E131" s="2">
        <f t="shared" ref="E131:E194" si="15">IF(D131&lt;0.01,0.01,D131)</f>
        <v>1</v>
      </c>
      <c r="F131" s="2">
        <f t="shared" ref="F131:F194" si="16">IF(E131&gt;0.99,0.99, E131)</f>
        <v>0.99</v>
      </c>
      <c r="G131" s="2">
        <f t="shared" ref="G131:G194" si="17">IF(F131&gt;0.5,1,0)</f>
        <v>1</v>
      </c>
      <c r="H131" s="2">
        <f>IF(G131=Training_Data!F131,1,0)</f>
        <v>1</v>
      </c>
    </row>
    <row r="132" spans="1:8" x14ac:dyDescent="0.2">
      <c r="A132" s="2">
        <f>$L$2+SUMPRODUCT($M$2:$Q$2,Training_Data!A132:E132)</f>
        <v>441.07799999999997</v>
      </c>
      <c r="B132" s="2">
        <f t="shared" si="12"/>
        <v>441.07799999999997</v>
      </c>
      <c r="C132" s="2">
        <f t="shared" si="13"/>
        <v>100</v>
      </c>
      <c r="D132" s="2">
        <f t="shared" si="14"/>
        <v>1</v>
      </c>
      <c r="E132" s="2">
        <f t="shared" si="15"/>
        <v>1</v>
      </c>
      <c r="F132" s="2">
        <f t="shared" si="16"/>
        <v>0.99</v>
      </c>
      <c r="G132" s="2">
        <f t="shared" si="17"/>
        <v>1</v>
      </c>
      <c r="H132" s="2">
        <f>IF(G132=Training_Data!F132,1,0)</f>
        <v>1</v>
      </c>
    </row>
    <row r="133" spans="1:8" x14ac:dyDescent="0.2">
      <c r="A133" s="2">
        <f>$L$2+SUMPRODUCT($M$2:$Q$2,Training_Data!A133:E133)</f>
        <v>3430.8599999999997</v>
      </c>
      <c r="B133" s="2">
        <f t="shared" si="12"/>
        <v>3430.8599999999997</v>
      </c>
      <c r="C133" s="2">
        <f t="shared" si="13"/>
        <v>100</v>
      </c>
      <c r="D133" s="2">
        <f t="shared" si="14"/>
        <v>1</v>
      </c>
      <c r="E133" s="2">
        <f t="shared" si="15"/>
        <v>1</v>
      </c>
      <c r="F133" s="2">
        <f t="shared" si="16"/>
        <v>0.99</v>
      </c>
      <c r="G133" s="2">
        <f t="shared" si="17"/>
        <v>1</v>
      </c>
      <c r="H133" s="2">
        <f>IF(G133=Training_Data!F133,1,0)</f>
        <v>1</v>
      </c>
    </row>
    <row r="134" spans="1:8" x14ac:dyDescent="0.2">
      <c r="A134" s="2">
        <f>$L$2+SUMPRODUCT($M$2:$Q$2,Training_Data!A134:E134)</f>
        <v>253.37799999999999</v>
      </c>
      <c r="B134" s="2">
        <f t="shared" si="12"/>
        <v>253.37799999999999</v>
      </c>
      <c r="C134" s="2">
        <f t="shared" si="13"/>
        <v>100</v>
      </c>
      <c r="D134" s="2">
        <f t="shared" si="14"/>
        <v>1</v>
      </c>
      <c r="E134" s="2">
        <f t="shared" si="15"/>
        <v>1</v>
      </c>
      <c r="F134" s="2">
        <f t="shared" si="16"/>
        <v>0.99</v>
      </c>
      <c r="G134" s="2">
        <f t="shared" si="17"/>
        <v>1</v>
      </c>
      <c r="H134" s="2">
        <f>IF(G134=Training_Data!F134,1,0)</f>
        <v>1</v>
      </c>
    </row>
    <row r="135" spans="1:8" x14ac:dyDescent="0.2">
      <c r="A135" s="2">
        <f>$L$2+SUMPRODUCT($M$2:$Q$2,Training_Data!A135:E135)</f>
        <v>1983.578</v>
      </c>
      <c r="B135" s="2">
        <f t="shared" si="12"/>
        <v>1983.578</v>
      </c>
      <c r="C135" s="2">
        <f t="shared" si="13"/>
        <v>100</v>
      </c>
      <c r="D135" s="2">
        <f t="shared" si="14"/>
        <v>1</v>
      </c>
      <c r="E135" s="2">
        <f t="shared" si="15"/>
        <v>1</v>
      </c>
      <c r="F135" s="2">
        <f t="shared" si="16"/>
        <v>0.99</v>
      </c>
      <c r="G135" s="2">
        <f t="shared" si="17"/>
        <v>1</v>
      </c>
      <c r="H135" s="2">
        <f>IF(G135=Training_Data!F135,1,0)</f>
        <v>1</v>
      </c>
    </row>
    <row r="136" spans="1:8" x14ac:dyDescent="0.2">
      <c r="A136" s="2">
        <f>$L$2+SUMPRODUCT($M$2:$Q$2,Training_Data!A136:E136)</f>
        <v>16019.172</v>
      </c>
      <c r="B136" s="2">
        <f t="shared" si="12"/>
        <v>16019.172</v>
      </c>
      <c r="C136" s="2">
        <f t="shared" si="13"/>
        <v>100</v>
      </c>
      <c r="D136" s="2">
        <f t="shared" si="14"/>
        <v>1</v>
      </c>
      <c r="E136" s="2">
        <f t="shared" si="15"/>
        <v>1</v>
      </c>
      <c r="F136" s="2">
        <f t="shared" si="16"/>
        <v>0.99</v>
      </c>
      <c r="G136" s="2">
        <f t="shared" si="17"/>
        <v>1</v>
      </c>
      <c r="H136" s="2">
        <f>IF(G136=Training_Data!F136,1,0)</f>
        <v>1</v>
      </c>
    </row>
    <row r="137" spans="1:8" x14ac:dyDescent="0.2">
      <c r="A137" s="2">
        <f>$L$2+SUMPRODUCT($M$2:$Q$2,Training_Data!A137:E137)</f>
        <v>221.25</v>
      </c>
      <c r="B137" s="2">
        <f t="shared" si="12"/>
        <v>221.25</v>
      </c>
      <c r="C137" s="2">
        <f t="shared" si="13"/>
        <v>100</v>
      </c>
      <c r="D137" s="2">
        <f t="shared" si="14"/>
        <v>1</v>
      </c>
      <c r="E137" s="2">
        <f t="shared" si="15"/>
        <v>1</v>
      </c>
      <c r="F137" s="2">
        <f t="shared" si="16"/>
        <v>0.99</v>
      </c>
      <c r="G137" s="2">
        <f t="shared" si="17"/>
        <v>1</v>
      </c>
      <c r="H137" s="2">
        <f>IF(G137=Training_Data!F137,1,0)</f>
        <v>1</v>
      </c>
    </row>
    <row r="138" spans="1:8" x14ac:dyDescent="0.2">
      <c r="A138" s="2">
        <f>$L$2+SUMPRODUCT($M$2:$Q$2,Training_Data!A138:E138)</f>
        <v>779.45000000000016</v>
      </c>
      <c r="B138" s="2">
        <f t="shared" si="12"/>
        <v>779.45000000000016</v>
      </c>
      <c r="C138" s="2">
        <f t="shared" si="13"/>
        <v>100</v>
      </c>
      <c r="D138" s="2">
        <f t="shared" si="14"/>
        <v>1</v>
      </c>
      <c r="E138" s="2">
        <f t="shared" si="15"/>
        <v>1</v>
      </c>
      <c r="F138" s="2">
        <f t="shared" si="16"/>
        <v>0.99</v>
      </c>
      <c r="G138" s="2">
        <f t="shared" si="17"/>
        <v>1</v>
      </c>
      <c r="H138" s="2">
        <f>IF(G138=Training_Data!F138,1,0)</f>
        <v>1</v>
      </c>
    </row>
    <row r="139" spans="1:8" x14ac:dyDescent="0.2">
      <c r="A139" s="2">
        <f>$L$2+SUMPRODUCT($M$2:$Q$2,Training_Data!A139:E139)</f>
        <v>1299.788</v>
      </c>
      <c r="B139" s="2">
        <f t="shared" si="12"/>
        <v>1299.788</v>
      </c>
      <c r="C139" s="2">
        <f t="shared" si="13"/>
        <v>100</v>
      </c>
      <c r="D139" s="2">
        <f t="shared" si="14"/>
        <v>1</v>
      </c>
      <c r="E139" s="2">
        <f t="shared" si="15"/>
        <v>1</v>
      </c>
      <c r="F139" s="2">
        <f t="shared" si="16"/>
        <v>0.99</v>
      </c>
      <c r="G139" s="2">
        <f t="shared" si="17"/>
        <v>1</v>
      </c>
      <c r="H139" s="2">
        <f>IF(G139=Training_Data!F139,1,0)</f>
        <v>1</v>
      </c>
    </row>
    <row r="140" spans="1:8" x14ac:dyDescent="0.2">
      <c r="A140" s="2">
        <f>$L$2+SUMPRODUCT($M$2:$Q$2,Training_Data!A140:E140)</f>
        <v>1006.003</v>
      </c>
      <c r="B140" s="2">
        <f t="shared" si="12"/>
        <v>1006.003</v>
      </c>
      <c r="C140" s="2">
        <f t="shared" si="13"/>
        <v>100</v>
      </c>
      <c r="D140" s="2">
        <f t="shared" si="14"/>
        <v>1</v>
      </c>
      <c r="E140" s="2">
        <f t="shared" si="15"/>
        <v>1</v>
      </c>
      <c r="F140" s="2">
        <f t="shared" si="16"/>
        <v>0.99</v>
      </c>
      <c r="G140" s="2">
        <f t="shared" si="17"/>
        <v>1</v>
      </c>
      <c r="H140" s="2">
        <f>IF(G140=Training_Data!F140,1,0)</f>
        <v>1</v>
      </c>
    </row>
    <row r="141" spans="1:8" x14ac:dyDescent="0.2">
      <c r="A141" s="2">
        <f>$L$2+SUMPRODUCT($M$2:$Q$2,Training_Data!A141:E141)</f>
        <v>3158.0909999999999</v>
      </c>
      <c r="B141" s="2">
        <f t="shared" si="12"/>
        <v>3158.0909999999999</v>
      </c>
      <c r="C141" s="2">
        <f t="shared" si="13"/>
        <v>100</v>
      </c>
      <c r="D141" s="2">
        <f t="shared" si="14"/>
        <v>1</v>
      </c>
      <c r="E141" s="2">
        <f t="shared" si="15"/>
        <v>1</v>
      </c>
      <c r="F141" s="2">
        <f t="shared" si="16"/>
        <v>0.99</v>
      </c>
      <c r="G141" s="2">
        <f t="shared" si="17"/>
        <v>1</v>
      </c>
      <c r="H141" s="2">
        <f>IF(G141=Training_Data!F141,1,0)</f>
        <v>1</v>
      </c>
    </row>
    <row r="142" spans="1:8" x14ac:dyDescent="0.2">
      <c r="A142" s="2">
        <f>$L$2+SUMPRODUCT($M$2:$Q$2,Training_Data!A142:E142)</f>
        <v>6824.0030000000006</v>
      </c>
      <c r="B142" s="2">
        <f t="shared" si="12"/>
        <v>6824.0030000000006</v>
      </c>
      <c r="C142" s="2">
        <f t="shared" si="13"/>
        <v>100</v>
      </c>
      <c r="D142" s="2">
        <f t="shared" si="14"/>
        <v>1</v>
      </c>
      <c r="E142" s="2">
        <f t="shared" si="15"/>
        <v>1</v>
      </c>
      <c r="F142" s="2">
        <f t="shared" si="16"/>
        <v>0.99</v>
      </c>
      <c r="G142" s="2">
        <f t="shared" si="17"/>
        <v>1</v>
      </c>
      <c r="H142" s="2">
        <f>IF(G142=Training_Data!F142,1,0)</f>
        <v>1</v>
      </c>
    </row>
    <row r="143" spans="1:8" x14ac:dyDescent="0.2">
      <c r="A143" s="2">
        <f>$L$2+SUMPRODUCT($M$2:$Q$2,Training_Data!A143:E143)</f>
        <v>1853.7500000000002</v>
      </c>
      <c r="B143" s="2">
        <f t="shared" si="12"/>
        <v>1853.7500000000002</v>
      </c>
      <c r="C143" s="2">
        <f t="shared" si="13"/>
        <v>100</v>
      </c>
      <c r="D143" s="2">
        <f t="shared" si="14"/>
        <v>1</v>
      </c>
      <c r="E143" s="2">
        <f t="shared" si="15"/>
        <v>1</v>
      </c>
      <c r="F143" s="2">
        <f t="shared" si="16"/>
        <v>0.99</v>
      </c>
      <c r="G143" s="2">
        <f t="shared" si="17"/>
        <v>1</v>
      </c>
      <c r="H143" s="2">
        <f>IF(G143=Training_Data!F143,1,0)</f>
        <v>1</v>
      </c>
    </row>
    <row r="144" spans="1:8" x14ac:dyDescent="0.2">
      <c r="A144" s="2">
        <f>$L$2+SUMPRODUCT($M$2:$Q$2,Training_Data!A144:E144)</f>
        <v>7359.3909999999996</v>
      </c>
      <c r="B144" s="2">
        <f t="shared" si="12"/>
        <v>7359.3909999999996</v>
      </c>
      <c r="C144" s="2">
        <f t="shared" si="13"/>
        <v>100</v>
      </c>
      <c r="D144" s="2">
        <f t="shared" si="14"/>
        <v>1</v>
      </c>
      <c r="E144" s="2">
        <f t="shared" si="15"/>
        <v>1</v>
      </c>
      <c r="F144" s="2">
        <f t="shared" si="16"/>
        <v>0.99</v>
      </c>
      <c r="G144" s="2">
        <f t="shared" si="17"/>
        <v>1</v>
      </c>
      <c r="H144" s="2">
        <f>IF(G144=Training_Data!F144,1,0)</f>
        <v>1</v>
      </c>
    </row>
    <row r="145" spans="1:8" x14ac:dyDescent="0.2">
      <c r="A145" s="2">
        <f>$L$2+SUMPRODUCT($M$2:$Q$2,Training_Data!A145:E145)</f>
        <v>9806.75</v>
      </c>
      <c r="B145" s="2">
        <f t="shared" si="12"/>
        <v>9806.75</v>
      </c>
      <c r="C145" s="2">
        <f t="shared" si="13"/>
        <v>100</v>
      </c>
      <c r="D145" s="2">
        <f t="shared" si="14"/>
        <v>1</v>
      </c>
      <c r="E145" s="2">
        <f t="shared" si="15"/>
        <v>1</v>
      </c>
      <c r="F145" s="2">
        <f t="shared" si="16"/>
        <v>0.99</v>
      </c>
      <c r="G145" s="2">
        <f t="shared" si="17"/>
        <v>1</v>
      </c>
      <c r="H145" s="2">
        <f>IF(G145=Training_Data!F145,1,0)</f>
        <v>1</v>
      </c>
    </row>
    <row r="146" spans="1:8" x14ac:dyDescent="0.2">
      <c r="A146" s="2">
        <f>$L$2+SUMPRODUCT($M$2:$Q$2,Training_Data!A146:E146)</f>
        <v>7040.0529999999999</v>
      </c>
      <c r="B146" s="2">
        <f t="shared" si="12"/>
        <v>7040.0529999999999</v>
      </c>
      <c r="C146" s="2">
        <f t="shared" si="13"/>
        <v>100</v>
      </c>
      <c r="D146" s="2">
        <f t="shared" si="14"/>
        <v>1</v>
      </c>
      <c r="E146" s="2">
        <f t="shared" si="15"/>
        <v>1</v>
      </c>
      <c r="F146" s="2">
        <f t="shared" si="16"/>
        <v>0.99</v>
      </c>
      <c r="G146" s="2">
        <f t="shared" si="17"/>
        <v>1</v>
      </c>
      <c r="H146" s="2">
        <f>IF(G146=Training_Data!F146,1,0)</f>
        <v>1</v>
      </c>
    </row>
    <row r="147" spans="1:8" x14ac:dyDescent="0.2">
      <c r="A147" s="2">
        <f>$L$2+SUMPRODUCT($M$2:$Q$2,Training_Data!A147:E147)</f>
        <v>555.65600000000006</v>
      </c>
      <c r="B147" s="2">
        <f t="shared" si="12"/>
        <v>555.65600000000006</v>
      </c>
      <c r="C147" s="2">
        <f t="shared" si="13"/>
        <v>100</v>
      </c>
      <c r="D147" s="2">
        <f t="shared" si="14"/>
        <v>1</v>
      </c>
      <c r="E147" s="2">
        <f t="shared" si="15"/>
        <v>1</v>
      </c>
      <c r="F147" s="2">
        <f t="shared" si="16"/>
        <v>0.99</v>
      </c>
      <c r="G147" s="2">
        <f t="shared" si="17"/>
        <v>1</v>
      </c>
      <c r="H147" s="2">
        <f>IF(G147=Training_Data!F147,1,0)</f>
        <v>1</v>
      </c>
    </row>
    <row r="148" spans="1:8" x14ac:dyDescent="0.2">
      <c r="A148" s="2">
        <f>$L$2+SUMPRODUCT($M$2:$Q$2,Training_Data!A148:E148)</f>
        <v>5107.8030000000008</v>
      </c>
      <c r="B148" s="2">
        <f t="shared" si="12"/>
        <v>5107.8030000000008</v>
      </c>
      <c r="C148" s="2">
        <f t="shared" si="13"/>
        <v>100</v>
      </c>
      <c r="D148" s="2">
        <f t="shared" si="14"/>
        <v>1</v>
      </c>
      <c r="E148" s="2">
        <f t="shared" si="15"/>
        <v>1</v>
      </c>
      <c r="F148" s="2">
        <f t="shared" si="16"/>
        <v>0.99</v>
      </c>
      <c r="G148" s="2">
        <f t="shared" si="17"/>
        <v>1</v>
      </c>
      <c r="H148" s="2">
        <f>IF(G148=Training_Data!F148,1,0)</f>
        <v>1</v>
      </c>
    </row>
    <row r="149" spans="1:8" x14ac:dyDescent="0.2">
      <c r="A149" s="2">
        <f>$L$2+SUMPRODUCT($M$2:$Q$2,Training_Data!A149:E149)</f>
        <v>113.953</v>
      </c>
      <c r="B149" s="2">
        <f t="shared" si="12"/>
        <v>113.953</v>
      </c>
      <c r="C149" s="2">
        <f t="shared" si="13"/>
        <v>100</v>
      </c>
      <c r="D149" s="2">
        <f t="shared" si="14"/>
        <v>1</v>
      </c>
      <c r="E149" s="2">
        <f t="shared" si="15"/>
        <v>1</v>
      </c>
      <c r="F149" s="2">
        <f t="shared" si="16"/>
        <v>0.99</v>
      </c>
      <c r="G149" s="2">
        <f t="shared" si="17"/>
        <v>1</v>
      </c>
      <c r="H149" s="2">
        <f>IF(G149=Training_Data!F149,1,0)</f>
        <v>1</v>
      </c>
    </row>
    <row r="150" spans="1:8" x14ac:dyDescent="0.2">
      <c r="A150" s="2">
        <f>$L$2+SUMPRODUCT($M$2:$Q$2,Training_Data!A150:E150)</f>
        <v>7058.1809999999996</v>
      </c>
      <c r="B150" s="2">
        <f t="shared" si="12"/>
        <v>7058.1809999999996</v>
      </c>
      <c r="C150" s="2">
        <f t="shared" si="13"/>
        <v>100</v>
      </c>
      <c r="D150" s="2">
        <f t="shared" si="14"/>
        <v>1</v>
      </c>
      <c r="E150" s="2">
        <f t="shared" si="15"/>
        <v>1</v>
      </c>
      <c r="F150" s="2">
        <f t="shared" si="16"/>
        <v>0.99</v>
      </c>
      <c r="G150" s="2">
        <f t="shared" si="17"/>
        <v>1</v>
      </c>
      <c r="H150" s="2">
        <f>IF(G150=Training_Data!F150,1,0)</f>
        <v>1</v>
      </c>
    </row>
    <row r="151" spans="1:8" x14ac:dyDescent="0.2">
      <c r="A151" s="2">
        <f>$L$2+SUMPRODUCT($M$2:$Q$2,Training_Data!A151:E151)</f>
        <v>-11.574999999999999</v>
      </c>
      <c r="B151" s="2">
        <f t="shared" si="12"/>
        <v>-11.574999999999999</v>
      </c>
      <c r="C151" s="2">
        <f t="shared" si="13"/>
        <v>-11.574999999999999</v>
      </c>
      <c r="D151" s="2">
        <f t="shared" si="14"/>
        <v>9.3980400280417778E-6</v>
      </c>
      <c r="E151" s="2">
        <f t="shared" si="15"/>
        <v>0.01</v>
      </c>
      <c r="F151" s="2">
        <f t="shared" si="16"/>
        <v>0.01</v>
      </c>
      <c r="G151" s="2">
        <f t="shared" si="17"/>
        <v>0</v>
      </c>
      <c r="H151" s="2">
        <f>IF(G151=Training_Data!F151,1,0)</f>
        <v>0</v>
      </c>
    </row>
    <row r="152" spans="1:8" x14ac:dyDescent="0.2">
      <c r="A152" s="2">
        <f>$L$2+SUMPRODUCT($M$2:$Q$2,Training_Data!A152:E152)</f>
        <v>10.496999999999996</v>
      </c>
      <c r="B152" s="2">
        <f t="shared" si="12"/>
        <v>10.496999999999996</v>
      </c>
      <c r="C152" s="2">
        <f t="shared" si="13"/>
        <v>10.496999999999996</v>
      </c>
      <c r="D152" s="2">
        <f t="shared" si="14"/>
        <v>0.99997238158006241</v>
      </c>
      <c r="E152" s="2">
        <f t="shared" si="15"/>
        <v>0.99997238158006241</v>
      </c>
      <c r="F152" s="2">
        <f t="shared" si="16"/>
        <v>0.99</v>
      </c>
      <c r="G152" s="2">
        <f t="shared" si="17"/>
        <v>1</v>
      </c>
      <c r="H152" s="2">
        <f>IF(G152=Training_Data!F152,1,0)</f>
        <v>1</v>
      </c>
    </row>
    <row r="153" spans="1:8" x14ac:dyDescent="0.2">
      <c r="A153" s="2">
        <f>$L$2+SUMPRODUCT($M$2:$Q$2,Training_Data!A153:E153)</f>
        <v>81.31</v>
      </c>
      <c r="B153" s="2">
        <f t="shared" si="12"/>
        <v>81.31</v>
      </c>
      <c r="C153" s="2">
        <f t="shared" si="13"/>
        <v>81.31</v>
      </c>
      <c r="D153" s="2">
        <f t="shared" si="14"/>
        <v>1</v>
      </c>
      <c r="E153" s="2">
        <f t="shared" si="15"/>
        <v>1</v>
      </c>
      <c r="F153" s="2">
        <f t="shared" si="16"/>
        <v>0.99</v>
      </c>
      <c r="G153" s="2">
        <f t="shared" si="17"/>
        <v>1</v>
      </c>
      <c r="H153" s="2">
        <f>IF(G153=Training_Data!F153,1,0)</f>
        <v>1</v>
      </c>
    </row>
    <row r="154" spans="1:8" x14ac:dyDescent="0.2">
      <c r="A154" s="2">
        <f>$L$2+SUMPRODUCT($M$2:$Q$2,Training_Data!A154:E154)</f>
        <v>10779.097000000002</v>
      </c>
      <c r="B154" s="2">
        <f t="shared" si="12"/>
        <v>10779.097000000002</v>
      </c>
      <c r="C154" s="2">
        <f t="shared" si="13"/>
        <v>100</v>
      </c>
      <c r="D154" s="2">
        <f t="shared" si="14"/>
        <v>1</v>
      </c>
      <c r="E154" s="2">
        <f t="shared" si="15"/>
        <v>1</v>
      </c>
      <c r="F154" s="2">
        <f t="shared" si="16"/>
        <v>0.99</v>
      </c>
      <c r="G154" s="2">
        <f t="shared" si="17"/>
        <v>1</v>
      </c>
      <c r="H154" s="2">
        <f>IF(G154=Training_Data!F154,1,0)</f>
        <v>1</v>
      </c>
    </row>
    <row r="155" spans="1:8" x14ac:dyDescent="0.2">
      <c r="A155" s="2">
        <f>$L$2+SUMPRODUCT($M$2:$Q$2,Training_Data!A155:E155)</f>
        <v>226.697</v>
      </c>
      <c r="B155" s="2">
        <f t="shared" si="12"/>
        <v>226.697</v>
      </c>
      <c r="C155" s="2">
        <f t="shared" si="13"/>
        <v>100</v>
      </c>
      <c r="D155" s="2">
        <f t="shared" si="14"/>
        <v>1</v>
      </c>
      <c r="E155" s="2">
        <f t="shared" si="15"/>
        <v>1</v>
      </c>
      <c r="F155" s="2">
        <f t="shared" si="16"/>
        <v>0.99</v>
      </c>
      <c r="G155" s="2">
        <f t="shared" si="17"/>
        <v>1</v>
      </c>
      <c r="H155" s="2">
        <f>IF(G155=Training_Data!F155,1,0)</f>
        <v>1</v>
      </c>
    </row>
    <row r="156" spans="1:8" x14ac:dyDescent="0.2">
      <c r="A156" s="2">
        <f>$L$2+SUMPRODUCT($M$2:$Q$2,Training_Data!A156:E156)</f>
        <v>6738.2759999999998</v>
      </c>
      <c r="B156" s="2">
        <f t="shared" si="12"/>
        <v>6738.2759999999998</v>
      </c>
      <c r="C156" s="2">
        <f t="shared" si="13"/>
        <v>100</v>
      </c>
      <c r="D156" s="2">
        <f t="shared" si="14"/>
        <v>1</v>
      </c>
      <c r="E156" s="2">
        <f t="shared" si="15"/>
        <v>1</v>
      </c>
      <c r="F156" s="2">
        <f t="shared" si="16"/>
        <v>0.99</v>
      </c>
      <c r="G156" s="2">
        <f t="shared" si="17"/>
        <v>1</v>
      </c>
      <c r="H156" s="2">
        <f>IF(G156=Training_Data!F156,1,0)</f>
        <v>1</v>
      </c>
    </row>
    <row r="157" spans="1:8" x14ac:dyDescent="0.2">
      <c r="A157" s="2">
        <f>$L$2+SUMPRODUCT($M$2:$Q$2,Training_Data!A157:E157)</f>
        <v>24308.797000000002</v>
      </c>
      <c r="B157" s="2">
        <f t="shared" si="12"/>
        <v>24308.797000000002</v>
      </c>
      <c r="C157" s="2">
        <f t="shared" si="13"/>
        <v>100</v>
      </c>
      <c r="D157" s="2">
        <f t="shared" si="14"/>
        <v>1</v>
      </c>
      <c r="E157" s="2">
        <f t="shared" si="15"/>
        <v>1</v>
      </c>
      <c r="F157" s="2">
        <f t="shared" si="16"/>
        <v>0.99</v>
      </c>
      <c r="G157" s="2">
        <f t="shared" si="17"/>
        <v>1</v>
      </c>
      <c r="H157" s="2">
        <f>IF(G157=Training_Data!F157,1,0)</f>
        <v>1</v>
      </c>
    </row>
    <row r="158" spans="1:8" x14ac:dyDescent="0.2">
      <c r="A158" s="2">
        <f>$L$2+SUMPRODUCT($M$2:$Q$2,Training_Data!A158:E158)</f>
        <v>20.649999999999995</v>
      </c>
      <c r="B158" s="2">
        <f t="shared" si="12"/>
        <v>20.649999999999995</v>
      </c>
      <c r="C158" s="2">
        <f t="shared" si="13"/>
        <v>20.649999999999995</v>
      </c>
      <c r="D158" s="2">
        <f t="shared" si="14"/>
        <v>0.99999999892398339</v>
      </c>
      <c r="E158" s="2">
        <f t="shared" si="15"/>
        <v>0.99999999892398339</v>
      </c>
      <c r="F158" s="2">
        <f t="shared" si="16"/>
        <v>0.99</v>
      </c>
      <c r="G158" s="2">
        <f t="shared" si="17"/>
        <v>1</v>
      </c>
      <c r="H158" s="2">
        <f>IF(G158=Training_Data!F158,1,0)</f>
        <v>1</v>
      </c>
    </row>
    <row r="159" spans="1:8" x14ac:dyDescent="0.2">
      <c r="A159" s="2">
        <f>$L$2+SUMPRODUCT($M$2:$Q$2,Training_Data!A159:E159)</f>
        <v>566.38700000000006</v>
      </c>
      <c r="B159" s="2">
        <f t="shared" si="12"/>
        <v>566.38700000000006</v>
      </c>
      <c r="C159" s="2">
        <f t="shared" si="13"/>
        <v>100</v>
      </c>
      <c r="D159" s="2">
        <f t="shared" si="14"/>
        <v>1</v>
      </c>
      <c r="E159" s="2">
        <f t="shared" si="15"/>
        <v>1</v>
      </c>
      <c r="F159" s="2">
        <f t="shared" si="16"/>
        <v>0.99</v>
      </c>
      <c r="G159" s="2">
        <f t="shared" si="17"/>
        <v>1</v>
      </c>
      <c r="H159" s="2">
        <f>IF(G159=Training_Data!F159,1,0)</f>
        <v>1</v>
      </c>
    </row>
    <row r="160" spans="1:8" x14ac:dyDescent="0.2">
      <c r="A160" s="2">
        <f>$L$2+SUMPRODUCT($M$2:$Q$2,Training_Data!A160:E160)</f>
        <v>490.72200000000004</v>
      </c>
      <c r="B160" s="2">
        <f t="shared" si="12"/>
        <v>490.72200000000004</v>
      </c>
      <c r="C160" s="2">
        <f t="shared" si="13"/>
        <v>100</v>
      </c>
      <c r="D160" s="2">
        <f t="shared" si="14"/>
        <v>1</v>
      </c>
      <c r="E160" s="2">
        <f t="shared" si="15"/>
        <v>1</v>
      </c>
      <c r="F160" s="2">
        <f t="shared" si="16"/>
        <v>0.99</v>
      </c>
      <c r="G160" s="2">
        <f t="shared" si="17"/>
        <v>1</v>
      </c>
      <c r="H160" s="2">
        <f>IF(G160=Training_Data!F160,1,0)</f>
        <v>1</v>
      </c>
    </row>
    <row r="161" spans="1:8" x14ac:dyDescent="0.2">
      <c r="A161" s="2">
        <f>$L$2+SUMPRODUCT($M$2:$Q$2,Training_Data!A161:E161)</f>
        <v>33828.777999999998</v>
      </c>
      <c r="B161" s="2">
        <f t="shared" si="12"/>
        <v>33828.777999999998</v>
      </c>
      <c r="C161" s="2">
        <f t="shared" si="13"/>
        <v>100</v>
      </c>
      <c r="D161" s="2">
        <f t="shared" si="14"/>
        <v>1</v>
      </c>
      <c r="E161" s="2">
        <f t="shared" si="15"/>
        <v>1</v>
      </c>
      <c r="F161" s="2">
        <f t="shared" si="16"/>
        <v>0.99</v>
      </c>
      <c r="G161" s="2">
        <f t="shared" si="17"/>
        <v>1</v>
      </c>
      <c r="H161" s="2">
        <f>IF(G161=Training_Data!F161,1,0)</f>
        <v>1</v>
      </c>
    </row>
    <row r="162" spans="1:8" x14ac:dyDescent="0.2">
      <c r="A162" s="2">
        <f>$L$2+SUMPRODUCT($M$2:$Q$2,Training_Data!A162:E162)</f>
        <v>2709.203</v>
      </c>
      <c r="B162" s="2">
        <f t="shared" si="12"/>
        <v>2709.203</v>
      </c>
      <c r="C162" s="2">
        <f t="shared" si="13"/>
        <v>100</v>
      </c>
      <c r="D162" s="2">
        <f t="shared" si="14"/>
        <v>1</v>
      </c>
      <c r="E162" s="2">
        <f t="shared" si="15"/>
        <v>1</v>
      </c>
      <c r="F162" s="2">
        <f t="shared" si="16"/>
        <v>0.99</v>
      </c>
      <c r="G162" s="2">
        <f t="shared" si="17"/>
        <v>1</v>
      </c>
      <c r="H162" s="2">
        <f>IF(G162=Training_Data!F162,1,0)</f>
        <v>1</v>
      </c>
    </row>
    <row r="163" spans="1:8" x14ac:dyDescent="0.2">
      <c r="A163" s="2">
        <f>$L$2+SUMPRODUCT($M$2:$Q$2,Training_Data!A163:E163)</f>
        <v>1368.0029999999999</v>
      </c>
      <c r="B163" s="2">
        <f t="shared" si="12"/>
        <v>1368.0029999999999</v>
      </c>
      <c r="C163" s="2">
        <f t="shared" si="13"/>
        <v>100</v>
      </c>
      <c r="D163" s="2">
        <f t="shared" si="14"/>
        <v>1</v>
      </c>
      <c r="E163" s="2">
        <f t="shared" si="15"/>
        <v>1</v>
      </c>
      <c r="F163" s="2">
        <f t="shared" si="16"/>
        <v>0.99</v>
      </c>
      <c r="G163" s="2">
        <f t="shared" si="17"/>
        <v>1</v>
      </c>
      <c r="H163" s="2">
        <f>IF(G163=Training_Data!F163,1,0)</f>
        <v>1</v>
      </c>
    </row>
    <row r="164" spans="1:8" x14ac:dyDescent="0.2">
      <c r="A164" s="2">
        <f>$L$2+SUMPRODUCT($M$2:$Q$2,Training_Data!A164:E164)</f>
        <v>36315.262999999999</v>
      </c>
      <c r="B164" s="2">
        <f t="shared" si="12"/>
        <v>36315.262999999999</v>
      </c>
      <c r="C164" s="2">
        <f t="shared" si="13"/>
        <v>100</v>
      </c>
      <c r="D164" s="2">
        <f t="shared" si="14"/>
        <v>1</v>
      </c>
      <c r="E164" s="2">
        <f t="shared" si="15"/>
        <v>1</v>
      </c>
      <c r="F164" s="2">
        <f t="shared" si="16"/>
        <v>0.99</v>
      </c>
      <c r="G164" s="2">
        <f t="shared" si="17"/>
        <v>1</v>
      </c>
      <c r="H164" s="2">
        <f>IF(G164=Training_Data!F164,1,0)</f>
        <v>1</v>
      </c>
    </row>
    <row r="165" spans="1:8" x14ac:dyDescent="0.2">
      <c r="A165" s="2">
        <f>$L$2+SUMPRODUCT($M$2:$Q$2,Training_Data!A165:E165)</f>
        <v>2172.4470000000001</v>
      </c>
      <c r="B165" s="2">
        <f t="shared" si="12"/>
        <v>2172.4470000000001</v>
      </c>
      <c r="C165" s="2">
        <f t="shared" si="13"/>
        <v>100</v>
      </c>
      <c r="D165" s="2">
        <f t="shared" si="14"/>
        <v>1</v>
      </c>
      <c r="E165" s="2">
        <f t="shared" si="15"/>
        <v>1</v>
      </c>
      <c r="F165" s="2">
        <f t="shared" si="16"/>
        <v>0.99</v>
      </c>
      <c r="G165" s="2">
        <f t="shared" si="17"/>
        <v>1</v>
      </c>
      <c r="H165" s="2">
        <f>IF(G165=Training_Data!F165,1,0)</f>
        <v>1</v>
      </c>
    </row>
    <row r="166" spans="1:8" x14ac:dyDescent="0.2">
      <c r="A166" s="2">
        <f>$L$2+SUMPRODUCT($M$2:$Q$2,Training_Data!A166:E166)</f>
        <v>536.42500000000007</v>
      </c>
      <c r="B166" s="2">
        <f t="shared" si="12"/>
        <v>536.42500000000007</v>
      </c>
      <c r="C166" s="2">
        <f t="shared" si="13"/>
        <v>100</v>
      </c>
      <c r="D166" s="2">
        <f t="shared" si="14"/>
        <v>1</v>
      </c>
      <c r="E166" s="2">
        <f t="shared" si="15"/>
        <v>1</v>
      </c>
      <c r="F166" s="2">
        <f t="shared" si="16"/>
        <v>0.99</v>
      </c>
      <c r="G166" s="2">
        <f t="shared" si="17"/>
        <v>1</v>
      </c>
      <c r="H166" s="2">
        <f>IF(G166=Training_Data!F166,1,0)</f>
        <v>1</v>
      </c>
    </row>
    <row r="167" spans="1:8" x14ac:dyDescent="0.2">
      <c r="A167" s="2">
        <f>$L$2+SUMPRODUCT($M$2:$Q$2,Training_Data!A167:E167)</f>
        <v>469.166</v>
      </c>
      <c r="B167" s="2">
        <f t="shared" si="12"/>
        <v>469.166</v>
      </c>
      <c r="C167" s="2">
        <f t="shared" si="13"/>
        <v>100</v>
      </c>
      <c r="D167" s="2">
        <f t="shared" si="14"/>
        <v>1</v>
      </c>
      <c r="E167" s="2">
        <f t="shared" si="15"/>
        <v>1</v>
      </c>
      <c r="F167" s="2">
        <f t="shared" si="16"/>
        <v>0.99</v>
      </c>
      <c r="G167" s="2">
        <f t="shared" si="17"/>
        <v>1</v>
      </c>
      <c r="H167" s="2">
        <f>IF(G167=Training_Data!F167,1,0)</f>
        <v>1</v>
      </c>
    </row>
    <row r="168" spans="1:8" x14ac:dyDescent="0.2">
      <c r="A168" s="2">
        <f>$L$2+SUMPRODUCT($M$2:$Q$2,Training_Data!A168:E168)</f>
        <v>-5.4970000000000026</v>
      </c>
      <c r="B168" s="2">
        <f t="shared" si="12"/>
        <v>-5.4970000000000026</v>
      </c>
      <c r="C168" s="2">
        <f t="shared" si="13"/>
        <v>-5.4970000000000026</v>
      </c>
      <c r="D168" s="2">
        <f t="shared" si="14"/>
        <v>4.0823165413763378E-3</v>
      </c>
      <c r="E168" s="2">
        <f t="shared" si="15"/>
        <v>0.01</v>
      </c>
      <c r="F168" s="2">
        <f t="shared" si="16"/>
        <v>0.01</v>
      </c>
      <c r="G168" s="2">
        <f t="shared" si="17"/>
        <v>0</v>
      </c>
      <c r="H168" s="2">
        <f>IF(G168=Training_Data!F168,1,0)</f>
        <v>0</v>
      </c>
    </row>
    <row r="169" spans="1:8" x14ac:dyDescent="0.2">
      <c r="A169" s="2">
        <f>$L$2+SUMPRODUCT($M$2:$Q$2,Training_Data!A169:E169)</f>
        <v>6517</v>
      </c>
      <c r="B169" s="2">
        <f t="shared" si="12"/>
        <v>6517</v>
      </c>
      <c r="C169" s="2">
        <f t="shared" si="13"/>
        <v>100</v>
      </c>
      <c r="D169" s="2">
        <f t="shared" si="14"/>
        <v>1</v>
      </c>
      <c r="E169" s="2">
        <f t="shared" si="15"/>
        <v>1</v>
      </c>
      <c r="F169" s="2">
        <f t="shared" si="16"/>
        <v>0.99</v>
      </c>
      <c r="G169" s="2">
        <f t="shared" si="17"/>
        <v>1</v>
      </c>
      <c r="H169" s="2">
        <f>IF(G169=Training_Data!F169,1,0)</f>
        <v>1</v>
      </c>
    </row>
    <row r="170" spans="1:8" x14ac:dyDescent="0.2">
      <c r="A170" s="2">
        <f>$L$2+SUMPRODUCT($M$2:$Q$2,Training_Data!A170:E170)</f>
        <v>5.0400000000000036</v>
      </c>
      <c r="B170" s="2">
        <f t="shared" si="12"/>
        <v>5.0400000000000036</v>
      </c>
      <c r="C170" s="2">
        <f t="shared" si="13"/>
        <v>5.0400000000000036</v>
      </c>
      <c r="D170" s="2">
        <f t="shared" si="14"/>
        <v>0.99356789153308145</v>
      </c>
      <c r="E170" s="2">
        <f t="shared" si="15"/>
        <v>0.99356789153308145</v>
      </c>
      <c r="F170" s="2">
        <f t="shared" si="16"/>
        <v>0.99</v>
      </c>
      <c r="G170" s="2">
        <f t="shared" si="17"/>
        <v>1</v>
      </c>
      <c r="H170" s="2">
        <f>IF(G170=Training_Data!F170,1,0)</f>
        <v>1</v>
      </c>
    </row>
    <row r="171" spans="1:8" x14ac:dyDescent="0.2">
      <c r="A171" s="2">
        <f>$L$2+SUMPRODUCT($M$2:$Q$2,Training_Data!A171:E171)</f>
        <v>139.79999999999998</v>
      </c>
      <c r="B171" s="2">
        <f t="shared" si="12"/>
        <v>139.79999999999998</v>
      </c>
      <c r="C171" s="2">
        <f t="shared" si="13"/>
        <v>100</v>
      </c>
      <c r="D171" s="2">
        <f t="shared" si="14"/>
        <v>1</v>
      </c>
      <c r="E171" s="2">
        <f t="shared" si="15"/>
        <v>1</v>
      </c>
      <c r="F171" s="2">
        <f t="shared" si="16"/>
        <v>0.99</v>
      </c>
      <c r="G171" s="2">
        <f t="shared" si="17"/>
        <v>1</v>
      </c>
      <c r="H171" s="2">
        <f>IF(G171=Training_Data!F171,1,0)</f>
        <v>1</v>
      </c>
    </row>
    <row r="172" spans="1:8" x14ac:dyDescent="0.2">
      <c r="A172" s="2">
        <f>$L$2+SUMPRODUCT($M$2:$Q$2,Training_Data!A172:E172)</f>
        <v>3730.375</v>
      </c>
      <c r="B172" s="2">
        <f t="shared" si="12"/>
        <v>3730.375</v>
      </c>
      <c r="C172" s="2">
        <f t="shared" si="13"/>
        <v>100</v>
      </c>
      <c r="D172" s="2">
        <f t="shared" si="14"/>
        <v>1</v>
      </c>
      <c r="E172" s="2">
        <f t="shared" si="15"/>
        <v>1</v>
      </c>
      <c r="F172" s="2">
        <f t="shared" si="16"/>
        <v>0.99</v>
      </c>
      <c r="G172" s="2">
        <f t="shared" si="17"/>
        <v>1</v>
      </c>
      <c r="H172" s="2">
        <f>IF(G172=Training_Data!F172,1,0)</f>
        <v>1</v>
      </c>
    </row>
    <row r="173" spans="1:8" x14ac:dyDescent="0.2">
      <c r="A173" s="2">
        <f>$L$2+SUMPRODUCT($M$2:$Q$2,Training_Data!A173:E173)</f>
        <v>41.100000000000009</v>
      </c>
      <c r="B173" s="2">
        <f t="shared" si="12"/>
        <v>41.100000000000009</v>
      </c>
      <c r="C173" s="2">
        <f t="shared" si="13"/>
        <v>41.100000000000009</v>
      </c>
      <c r="D173" s="2">
        <f t="shared" si="14"/>
        <v>1</v>
      </c>
      <c r="E173" s="2">
        <f t="shared" si="15"/>
        <v>1</v>
      </c>
      <c r="F173" s="2">
        <f t="shared" si="16"/>
        <v>0.99</v>
      </c>
      <c r="G173" s="2">
        <f t="shared" si="17"/>
        <v>1</v>
      </c>
      <c r="H173" s="2">
        <f>IF(G173=Training_Data!F173,1,0)</f>
        <v>1</v>
      </c>
    </row>
    <row r="174" spans="1:8" x14ac:dyDescent="0.2">
      <c r="A174" s="2">
        <f>$L$2+SUMPRODUCT($M$2:$Q$2,Training_Data!A174:E174)</f>
        <v>690.83800000000008</v>
      </c>
      <c r="B174" s="2">
        <f t="shared" si="12"/>
        <v>690.83800000000008</v>
      </c>
      <c r="C174" s="2">
        <f t="shared" si="13"/>
        <v>100</v>
      </c>
      <c r="D174" s="2">
        <f t="shared" si="14"/>
        <v>1</v>
      </c>
      <c r="E174" s="2">
        <f t="shared" si="15"/>
        <v>1</v>
      </c>
      <c r="F174" s="2">
        <f t="shared" si="16"/>
        <v>0.99</v>
      </c>
      <c r="G174" s="2">
        <f t="shared" si="17"/>
        <v>1</v>
      </c>
      <c r="H174" s="2">
        <f>IF(G174=Training_Data!F174,1,0)</f>
        <v>1</v>
      </c>
    </row>
    <row r="175" spans="1:8" x14ac:dyDescent="0.2">
      <c r="A175" s="2">
        <f>$L$2+SUMPRODUCT($M$2:$Q$2,Training_Data!A175:E175)</f>
        <v>1816.65</v>
      </c>
      <c r="B175" s="2">
        <f t="shared" si="12"/>
        <v>1816.65</v>
      </c>
      <c r="C175" s="2">
        <f t="shared" si="13"/>
        <v>100</v>
      </c>
      <c r="D175" s="2">
        <f t="shared" si="14"/>
        <v>1</v>
      </c>
      <c r="E175" s="2">
        <f t="shared" si="15"/>
        <v>1</v>
      </c>
      <c r="F175" s="2">
        <f t="shared" si="16"/>
        <v>0.99</v>
      </c>
      <c r="G175" s="2">
        <f t="shared" si="17"/>
        <v>1</v>
      </c>
      <c r="H175" s="2">
        <f>IF(G175=Training_Data!F175,1,0)</f>
        <v>1</v>
      </c>
    </row>
    <row r="176" spans="1:8" x14ac:dyDescent="0.2">
      <c r="A176" s="2">
        <f>$L$2+SUMPRODUCT($M$2:$Q$2,Training_Data!A176:E176)</f>
        <v>591.64900000000011</v>
      </c>
      <c r="B176" s="2">
        <f t="shared" si="12"/>
        <v>591.64900000000011</v>
      </c>
      <c r="C176" s="2">
        <f t="shared" si="13"/>
        <v>100</v>
      </c>
      <c r="D176" s="2">
        <f t="shared" si="14"/>
        <v>1</v>
      </c>
      <c r="E176" s="2">
        <f t="shared" si="15"/>
        <v>1</v>
      </c>
      <c r="F176" s="2">
        <f t="shared" si="16"/>
        <v>0.99</v>
      </c>
      <c r="G176" s="2">
        <f t="shared" si="17"/>
        <v>1</v>
      </c>
      <c r="H176" s="2">
        <f>IF(G176=Training_Data!F176,1,0)</f>
        <v>1</v>
      </c>
    </row>
    <row r="177" spans="1:8" x14ac:dyDescent="0.2">
      <c r="A177" s="2">
        <f>$L$2+SUMPRODUCT($M$2:$Q$2,Training_Data!A177:E177)</f>
        <v>47989.434999999998</v>
      </c>
      <c r="B177" s="2">
        <f t="shared" si="12"/>
        <v>47989.434999999998</v>
      </c>
      <c r="C177" s="2">
        <f t="shared" si="13"/>
        <v>100</v>
      </c>
      <c r="D177" s="2">
        <f t="shared" si="14"/>
        <v>1</v>
      </c>
      <c r="E177" s="2">
        <f t="shared" si="15"/>
        <v>1</v>
      </c>
      <c r="F177" s="2">
        <f t="shared" si="16"/>
        <v>0.99</v>
      </c>
      <c r="G177" s="2">
        <f t="shared" si="17"/>
        <v>1</v>
      </c>
      <c r="H177" s="2">
        <f>IF(G177=Training_Data!F177,1,0)</f>
        <v>1</v>
      </c>
    </row>
    <row r="178" spans="1:8" x14ac:dyDescent="0.2">
      <c r="A178" s="2">
        <f>$L$2+SUMPRODUCT($M$2:$Q$2,Training_Data!A178:E178)</f>
        <v>95.612000000000009</v>
      </c>
      <c r="B178" s="2">
        <f t="shared" si="12"/>
        <v>95.612000000000009</v>
      </c>
      <c r="C178" s="2">
        <f t="shared" si="13"/>
        <v>95.612000000000009</v>
      </c>
      <c r="D178" s="2">
        <f t="shared" si="14"/>
        <v>1</v>
      </c>
      <c r="E178" s="2">
        <f t="shared" si="15"/>
        <v>1</v>
      </c>
      <c r="F178" s="2">
        <f t="shared" si="16"/>
        <v>0.99</v>
      </c>
      <c r="G178" s="2">
        <f t="shared" si="17"/>
        <v>1</v>
      </c>
      <c r="H178" s="2">
        <f>IF(G178=Training_Data!F178,1,0)</f>
        <v>1</v>
      </c>
    </row>
    <row r="179" spans="1:8" x14ac:dyDescent="0.2">
      <c r="A179" s="2">
        <f>$L$2+SUMPRODUCT($M$2:$Q$2,Training_Data!A179:E179)</f>
        <v>142.19399999999999</v>
      </c>
      <c r="B179" s="2">
        <f t="shared" si="12"/>
        <v>142.19399999999999</v>
      </c>
      <c r="C179" s="2">
        <f t="shared" si="13"/>
        <v>100</v>
      </c>
      <c r="D179" s="2">
        <f t="shared" si="14"/>
        <v>1</v>
      </c>
      <c r="E179" s="2">
        <f t="shared" si="15"/>
        <v>1</v>
      </c>
      <c r="F179" s="2">
        <f t="shared" si="16"/>
        <v>0.99</v>
      </c>
      <c r="G179" s="2">
        <f t="shared" si="17"/>
        <v>1</v>
      </c>
      <c r="H179" s="2">
        <f>IF(G179=Training_Data!F179,1,0)</f>
        <v>1</v>
      </c>
    </row>
    <row r="180" spans="1:8" x14ac:dyDescent="0.2">
      <c r="A180" s="2">
        <f>$L$2+SUMPRODUCT($M$2:$Q$2,Training_Data!A180:E180)</f>
        <v>9606.1280000000006</v>
      </c>
      <c r="B180" s="2">
        <f t="shared" si="12"/>
        <v>9606.1280000000006</v>
      </c>
      <c r="C180" s="2">
        <f t="shared" si="13"/>
        <v>100</v>
      </c>
      <c r="D180" s="2">
        <f t="shared" si="14"/>
        <v>1</v>
      </c>
      <c r="E180" s="2">
        <f t="shared" si="15"/>
        <v>1</v>
      </c>
      <c r="F180" s="2">
        <f t="shared" si="16"/>
        <v>0.99</v>
      </c>
      <c r="G180" s="2">
        <f t="shared" si="17"/>
        <v>1</v>
      </c>
      <c r="H180" s="2">
        <f>IF(G180=Training_Data!F180,1,0)</f>
        <v>1</v>
      </c>
    </row>
    <row r="181" spans="1:8" x14ac:dyDescent="0.2">
      <c r="A181" s="2">
        <f>$L$2+SUMPRODUCT($M$2:$Q$2,Training_Data!A181:E181)</f>
        <v>10591.738000000003</v>
      </c>
      <c r="B181" s="2">
        <f t="shared" si="12"/>
        <v>10591.738000000003</v>
      </c>
      <c r="C181" s="2">
        <f t="shared" si="13"/>
        <v>100</v>
      </c>
      <c r="D181" s="2">
        <f t="shared" si="14"/>
        <v>1</v>
      </c>
      <c r="E181" s="2">
        <f t="shared" si="15"/>
        <v>1</v>
      </c>
      <c r="F181" s="2">
        <f t="shared" si="16"/>
        <v>0.99</v>
      </c>
      <c r="G181" s="2">
        <f t="shared" si="17"/>
        <v>1</v>
      </c>
      <c r="H181" s="2">
        <f>IF(G181=Training_Data!F181,1,0)</f>
        <v>1</v>
      </c>
    </row>
    <row r="182" spans="1:8" x14ac:dyDescent="0.2">
      <c r="A182" s="2">
        <f>$L$2+SUMPRODUCT($M$2:$Q$2,Training_Data!A182:E182)</f>
        <v>5533.3249999999998</v>
      </c>
      <c r="B182" s="2">
        <f t="shared" si="12"/>
        <v>5533.3249999999998</v>
      </c>
      <c r="C182" s="2">
        <f t="shared" si="13"/>
        <v>100</v>
      </c>
      <c r="D182" s="2">
        <f t="shared" si="14"/>
        <v>1</v>
      </c>
      <c r="E182" s="2">
        <f t="shared" si="15"/>
        <v>1</v>
      </c>
      <c r="F182" s="2">
        <f t="shared" si="16"/>
        <v>0.99</v>
      </c>
      <c r="G182" s="2">
        <f t="shared" si="17"/>
        <v>1</v>
      </c>
      <c r="H182" s="2">
        <f>IF(G182=Training_Data!F182,1,0)</f>
        <v>1</v>
      </c>
    </row>
    <row r="183" spans="1:8" x14ac:dyDescent="0.2">
      <c r="A183" s="2">
        <f>$L$2+SUMPRODUCT($M$2:$Q$2,Training_Data!A183:E183)</f>
        <v>1589.3</v>
      </c>
      <c r="B183" s="2">
        <f t="shared" si="12"/>
        <v>1589.3</v>
      </c>
      <c r="C183" s="2">
        <f t="shared" si="13"/>
        <v>100</v>
      </c>
      <c r="D183" s="2">
        <f t="shared" si="14"/>
        <v>1</v>
      </c>
      <c r="E183" s="2">
        <f t="shared" si="15"/>
        <v>1</v>
      </c>
      <c r="F183" s="2">
        <f t="shared" si="16"/>
        <v>0.99</v>
      </c>
      <c r="G183" s="2">
        <f t="shared" si="17"/>
        <v>1</v>
      </c>
      <c r="H183" s="2">
        <f>IF(G183=Training_Data!F183,1,0)</f>
        <v>1</v>
      </c>
    </row>
    <row r="184" spans="1:8" x14ac:dyDescent="0.2">
      <c r="A184" s="2">
        <f>$L$2+SUMPRODUCT($M$2:$Q$2,Training_Data!A184:E184)</f>
        <v>9796.1779999999999</v>
      </c>
      <c r="B184" s="2">
        <f t="shared" si="12"/>
        <v>9796.1779999999999</v>
      </c>
      <c r="C184" s="2">
        <f t="shared" si="13"/>
        <v>100</v>
      </c>
      <c r="D184" s="2">
        <f t="shared" si="14"/>
        <v>1</v>
      </c>
      <c r="E184" s="2">
        <f t="shared" si="15"/>
        <v>1</v>
      </c>
      <c r="F184" s="2">
        <f t="shared" si="16"/>
        <v>0.99</v>
      </c>
      <c r="G184" s="2">
        <f t="shared" si="17"/>
        <v>1</v>
      </c>
      <c r="H184" s="2">
        <f>IF(G184=Training_Data!F184,1,0)</f>
        <v>1</v>
      </c>
    </row>
    <row r="185" spans="1:8" x14ac:dyDescent="0.2">
      <c r="A185" s="2">
        <f>$L$2+SUMPRODUCT($M$2:$Q$2,Training_Data!A185:E185)</f>
        <v>4951.6849999999995</v>
      </c>
      <c r="B185" s="2">
        <f t="shared" si="12"/>
        <v>4951.6849999999995</v>
      </c>
      <c r="C185" s="2">
        <f t="shared" si="13"/>
        <v>100</v>
      </c>
      <c r="D185" s="2">
        <f t="shared" si="14"/>
        <v>1</v>
      </c>
      <c r="E185" s="2">
        <f t="shared" si="15"/>
        <v>1</v>
      </c>
      <c r="F185" s="2">
        <f t="shared" si="16"/>
        <v>0.99</v>
      </c>
      <c r="G185" s="2">
        <f t="shared" si="17"/>
        <v>1</v>
      </c>
      <c r="H185" s="2">
        <f>IF(G185=Training_Data!F185,1,0)</f>
        <v>1</v>
      </c>
    </row>
    <row r="186" spans="1:8" x14ac:dyDescent="0.2">
      <c r="A186" s="2">
        <f>$L$2+SUMPRODUCT($M$2:$Q$2,Training_Data!A186:E186)</f>
        <v>-11.971999999999998</v>
      </c>
      <c r="B186" s="2">
        <f t="shared" si="12"/>
        <v>-11.971999999999998</v>
      </c>
      <c r="C186" s="2">
        <f t="shared" si="13"/>
        <v>-11.971999999999998</v>
      </c>
      <c r="D186" s="2">
        <f t="shared" si="14"/>
        <v>6.3186415428483315E-6</v>
      </c>
      <c r="E186" s="2">
        <f t="shared" si="15"/>
        <v>0.01</v>
      </c>
      <c r="F186" s="2">
        <f t="shared" si="16"/>
        <v>0.01</v>
      </c>
      <c r="G186" s="2">
        <f t="shared" si="17"/>
        <v>0</v>
      </c>
      <c r="H186" s="2">
        <f>IF(G186=Training_Data!F186,1,0)</f>
        <v>0</v>
      </c>
    </row>
    <row r="187" spans="1:8" x14ac:dyDescent="0.2">
      <c r="A187" s="2">
        <f>$L$2+SUMPRODUCT($M$2:$Q$2,Training_Data!A187:E187)</f>
        <v>14.003000000000004</v>
      </c>
      <c r="B187" s="2">
        <f t="shared" si="12"/>
        <v>14.003000000000004</v>
      </c>
      <c r="C187" s="2">
        <f t="shared" si="13"/>
        <v>14.003000000000004</v>
      </c>
      <c r="D187" s="2">
        <f t="shared" si="14"/>
        <v>0.99999917096281632</v>
      </c>
      <c r="E187" s="2">
        <f t="shared" si="15"/>
        <v>0.99999917096281632</v>
      </c>
      <c r="F187" s="2">
        <f t="shared" si="16"/>
        <v>0.99</v>
      </c>
      <c r="G187" s="2">
        <f t="shared" si="17"/>
        <v>1</v>
      </c>
      <c r="H187" s="2">
        <f>IF(G187=Training_Data!F187,1,0)</f>
        <v>1</v>
      </c>
    </row>
    <row r="188" spans="1:8" x14ac:dyDescent="0.2">
      <c r="A188" s="2">
        <f>$L$2+SUMPRODUCT($M$2:$Q$2,Training_Data!A188:E188)</f>
        <v>496.57599999999996</v>
      </c>
      <c r="B188" s="2">
        <f t="shared" si="12"/>
        <v>496.57599999999996</v>
      </c>
      <c r="C188" s="2">
        <f t="shared" si="13"/>
        <v>100</v>
      </c>
      <c r="D188" s="2">
        <f t="shared" si="14"/>
        <v>1</v>
      </c>
      <c r="E188" s="2">
        <f t="shared" si="15"/>
        <v>1</v>
      </c>
      <c r="F188" s="2">
        <f t="shared" si="16"/>
        <v>0.99</v>
      </c>
      <c r="G188" s="2">
        <f t="shared" si="17"/>
        <v>1</v>
      </c>
      <c r="H188" s="2">
        <f>IF(G188=Training_Data!F188,1,0)</f>
        <v>1</v>
      </c>
    </row>
    <row r="189" spans="1:8" x14ac:dyDescent="0.2">
      <c r="A189" s="2">
        <f>$L$2+SUMPRODUCT($M$2:$Q$2,Training_Data!A189:E189)</f>
        <v>2556.7370000000001</v>
      </c>
      <c r="B189" s="2">
        <f t="shared" si="12"/>
        <v>2556.7370000000001</v>
      </c>
      <c r="C189" s="2">
        <f t="shared" si="13"/>
        <v>100</v>
      </c>
      <c r="D189" s="2">
        <f t="shared" si="14"/>
        <v>1</v>
      </c>
      <c r="E189" s="2">
        <f t="shared" si="15"/>
        <v>1</v>
      </c>
      <c r="F189" s="2">
        <f t="shared" si="16"/>
        <v>0.99</v>
      </c>
      <c r="G189" s="2">
        <f t="shared" si="17"/>
        <v>1</v>
      </c>
      <c r="H189" s="2">
        <f>IF(G189=Training_Data!F189,1,0)</f>
        <v>1</v>
      </c>
    </row>
    <row r="190" spans="1:8" x14ac:dyDescent="0.2">
      <c r="A190" s="2">
        <f>$L$2+SUMPRODUCT($M$2:$Q$2,Training_Data!A190:E190)</f>
        <v>97.337000000000003</v>
      </c>
      <c r="B190" s="2">
        <f t="shared" si="12"/>
        <v>97.337000000000003</v>
      </c>
      <c r="C190" s="2">
        <f t="shared" si="13"/>
        <v>97.337000000000003</v>
      </c>
      <c r="D190" s="2">
        <f t="shared" si="14"/>
        <v>1</v>
      </c>
      <c r="E190" s="2">
        <f t="shared" si="15"/>
        <v>1</v>
      </c>
      <c r="F190" s="2">
        <f t="shared" si="16"/>
        <v>0.99</v>
      </c>
      <c r="G190" s="2">
        <f t="shared" si="17"/>
        <v>1</v>
      </c>
      <c r="H190" s="2">
        <f>IF(G190=Training_Data!F190,1,0)</f>
        <v>1</v>
      </c>
    </row>
    <row r="191" spans="1:8" x14ac:dyDescent="0.2">
      <c r="A191" s="2">
        <f>$L$2+SUMPRODUCT($M$2:$Q$2,Training_Data!A191:E191)</f>
        <v>251.33799999999999</v>
      </c>
      <c r="B191" s="2">
        <f t="shared" si="12"/>
        <v>251.33799999999999</v>
      </c>
      <c r="C191" s="2">
        <f t="shared" si="13"/>
        <v>100</v>
      </c>
      <c r="D191" s="2">
        <f t="shared" si="14"/>
        <v>1</v>
      </c>
      <c r="E191" s="2">
        <f t="shared" si="15"/>
        <v>1</v>
      </c>
      <c r="F191" s="2">
        <f t="shared" si="16"/>
        <v>0.99</v>
      </c>
      <c r="G191" s="2">
        <f t="shared" si="17"/>
        <v>1</v>
      </c>
      <c r="H191" s="2">
        <f>IF(G191=Training_Data!F191,1,0)</f>
        <v>1</v>
      </c>
    </row>
    <row r="192" spans="1:8" x14ac:dyDescent="0.2">
      <c r="A192" s="2">
        <f>$L$2+SUMPRODUCT($M$2:$Q$2,Training_Data!A192:E192)</f>
        <v>202.66300000000001</v>
      </c>
      <c r="B192" s="2">
        <f t="shared" si="12"/>
        <v>202.66300000000001</v>
      </c>
      <c r="C192" s="2">
        <f t="shared" si="13"/>
        <v>100</v>
      </c>
      <c r="D192" s="2">
        <f t="shared" si="14"/>
        <v>1</v>
      </c>
      <c r="E192" s="2">
        <f t="shared" si="15"/>
        <v>1</v>
      </c>
      <c r="F192" s="2">
        <f t="shared" si="16"/>
        <v>0.99</v>
      </c>
      <c r="G192" s="2">
        <f t="shared" si="17"/>
        <v>1</v>
      </c>
      <c r="H192" s="2">
        <f>IF(G192=Training_Data!F192,1,0)</f>
        <v>1</v>
      </c>
    </row>
    <row r="193" spans="1:8" x14ac:dyDescent="0.2">
      <c r="A193" s="2">
        <f>$L$2+SUMPRODUCT($M$2:$Q$2,Training_Data!A193:E193)</f>
        <v>481.50700000000001</v>
      </c>
      <c r="B193" s="2">
        <f t="shared" si="12"/>
        <v>481.50700000000001</v>
      </c>
      <c r="C193" s="2">
        <f t="shared" si="13"/>
        <v>100</v>
      </c>
      <c r="D193" s="2">
        <f t="shared" si="14"/>
        <v>1</v>
      </c>
      <c r="E193" s="2">
        <f t="shared" si="15"/>
        <v>1</v>
      </c>
      <c r="F193" s="2">
        <f t="shared" si="16"/>
        <v>0.99</v>
      </c>
      <c r="G193" s="2">
        <f t="shared" si="17"/>
        <v>1</v>
      </c>
      <c r="H193" s="2">
        <f>IF(G193=Training_Data!F193,1,0)</f>
        <v>1</v>
      </c>
    </row>
    <row r="194" spans="1:8" x14ac:dyDescent="0.2">
      <c r="A194" s="2">
        <f>$L$2+SUMPRODUCT($M$2:$Q$2,Training_Data!A194:E194)</f>
        <v>2534.0219999999999</v>
      </c>
      <c r="B194" s="2">
        <f t="shared" si="12"/>
        <v>2534.0219999999999</v>
      </c>
      <c r="C194" s="2">
        <f t="shared" si="13"/>
        <v>100</v>
      </c>
      <c r="D194" s="2">
        <f t="shared" si="14"/>
        <v>1</v>
      </c>
      <c r="E194" s="2">
        <f t="shared" si="15"/>
        <v>1</v>
      </c>
      <c r="F194" s="2">
        <f t="shared" si="16"/>
        <v>0.99</v>
      </c>
      <c r="G194" s="2">
        <f t="shared" si="17"/>
        <v>1</v>
      </c>
      <c r="H194" s="2">
        <f>IF(G194=Training_Data!F194,1,0)</f>
        <v>1</v>
      </c>
    </row>
    <row r="195" spans="1:8" x14ac:dyDescent="0.2">
      <c r="A195" s="2">
        <f>$L$2+SUMPRODUCT($M$2:$Q$2,Training_Data!A195:E195)</f>
        <v>2260.9659999999999</v>
      </c>
      <c r="B195" s="2">
        <f t="shared" ref="B195:B258" si="18">IF(A195&lt;-100,-100,A195)</f>
        <v>2260.9659999999999</v>
      </c>
      <c r="C195" s="2">
        <f t="shared" ref="C195:C258" si="19">IF(B195&gt;100,100,B195)</f>
        <v>100</v>
      </c>
      <c r="D195" s="2">
        <f t="shared" ref="D195:D258" si="20">1/(1+EXP(-C195))</f>
        <v>1</v>
      </c>
      <c r="E195" s="2">
        <f t="shared" ref="E195:E258" si="21">IF(D195&lt;0.01,0.01,D195)</f>
        <v>1</v>
      </c>
      <c r="F195" s="2">
        <f t="shared" ref="F195:F258" si="22">IF(E195&gt;0.99,0.99, E195)</f>
        <v>0.99</v>
      </c>
      <c r="G195" s="2">
        <f t="shared" ref="G195:G258" si="23">IF(F195&gt;0.5,1,0)</f>
        <v>1</v>
      </c>
      <c r="H195" s="2">
        <f>IF(G195=Training_Data!F195,1,0)</f>
        <v>1</v>
      </c>
    </row>
    <row r="196" spans="1:8" x14ac:dyDescent="0.2">
      <c r="A196" s="2">
        <f>$L$2+SUMPRODUCT($M$2:$Q$2,Training_Data!A196:E196)</f>
        <v>1351.7380000000001</v>
      </c>
      <c r="B196" s="2">
        <f t="shared" si="18"/>
        <v>1351.7380000000001</v>
      </c>
      <c r="C196" s="2">
        <f t="shared" si="19"/>
        <v>100</v>
      </c>
      <c r="D196" s="2">
        <f t="shared" si="20"/>
        <v>1</v>
      </c>
      <c r="E196" s="2">
        <f t="shared" si="21"/>
        <v>1</v>
      </c>
      <c r="F196" s="2">
        <f t="shared" si="22"/>
        <v>0.99</v>
      </c>
      <c r="G196" s="2">
        <f t="shared" si="23"/>
        <v>1</v>
      </c>
      <c r="H196" s="2">
        <f>IF(G196=Training_Data!F196,1,0)</f>
        <v>1</v>
      </c>
    </row>
    <row r="197" spans="1:8" x14ac:dyDescent="0.2">
      <c r="A197" s="2">
        <f>$L$2+SUMPRODUCT($M$2:$Q$2,Training_Data!A197:E197)</f>
        <v>2155.9779999999996</v>
      </c>
      <c r="B197" s="2">
        <f t="shared" si="18"/>
        <v>2155.9779999999996</v>
      </c>
      <c r="C197" s="2">
        <f t="shared" si="19"/>
        <v>100</v>
      </c>
      <c r="D197" s="2">
        <f t="shared" si="20"/>
        <v>1</v>
      </c>
      <c r="E197" s="2">
        <f t="shared" si="21"/>
        <v>1</v>
      </c>
      <c r="F197" s="2">
        <f t="shared" si="22"/>
        <v>0.99</v>
      </c>
      <c r="G197" s="2">
        <f t="shared" si="23"/>
        <v>1</v>
      </c>
      <c r="H197" s="2">
        <f>IF(G197=Training_Data!F197,1,0)</f>
        <v>1</v>
      </c>
    </row>
    <row r="198" spans="1:8" x14ac:dyDescent="0.2">
      <c r="A198" s="2">
        <f>$L$2+SUMPRODUCT($M$2:$Q$2,Training_Data!A198:E198)</f>
        <v>933.75300000000004</v>
      </c>
      <c r="B198" s="2">
        <f t="shared" si="18"/>
        <v>933.75300000000004</v>
      </c>
      <c r="C198" s="2">
        <f t="shared" si="19"/>
        <v>100</v>
      </c>
      <c r="D198" s="2">
        <f t="shared" si="20"/>
        <v>1</v>
      </c>
      <c r="E198" s="2">
        <f t="shared" si="21"/>
        <v>1</v>
      </c>
      <c r="F198" s="2">
        <f t="shared" si="22"/>
        <v>0.99</v>
      </c>
      <c r="G198" s="2">
        <f t="shared" si="23"/>
        <v>1</v>
      </c>
      <c r="H198" s="2">
        <f>IF(G198=Training_Data!F198,1,0)</f>
        <v>1</v>
      </c>
    </row>
    <row r="199" spans="1:8" x14ac:dyDescent="0.2">
      <c r="A199" s="2">
        <f>$L$2+SUMPRODUCT($M$2:$Q$2,Training_Data!A199:E199)</f>
        <v>73.553000000000011</v>
      </c>
      <c r="B199" s="2">
        <f t="shared" si="18"/>
        <v>73.553000000000011</v>
      </c>
      <c r="C199" s="2">
        <f t="shared" si="19"/>
        <v>73.553000000000011</v>
      </c>
      <c r="D199" s="2">
        <f t="shared" si="20"/>
        <v>1</v>
      </c>
      <c r="E199" s="2">
        <f t="shared" si="21"/>
        <v>1</v>
      </c>
      <c r="F199" s="2">
        <f t="shared" si="22"/>
        <v>0.99</v>
      </c>
      <c r="G199" s="2">
        <f t="shared" si="23"/>
        <v>1</v>
      </c>
      <c r="H199" s="2">
        <f>IF(G199=Training_Data!F199,1,0)</f>
        <v>1</v>
      </c>
    </row>
    <row r="200" spans="1:8" x14ac:dyDescent="0.2">
      <c r="A200" s="2">
        <f>$L$2+SUMPRODUCT($M$2:$Q$2,Training_Data!A200:E200)</f>
        <v>3840.2309999999998</v>
      </c>
      <c r="B200" s="2">
        <f t="shared" si="18"/>
        <v>3840.2309999999998</v>
      </c>
      <c r="C200" s="2">
        <f t="shared" si="19"/>
        <v>100</v>
      </c>
      <c r="D200" s="2">
        <f t="shared" si="20"/>
        <v>1</v>
      </c>
      <c r="E200" s="2">
        <f t="shared" si="21"/>
        <v>1</v>
      </c>
      <c r="F200" s="2">
        <f t="shared" si="22"/>
        <v>0.99</v>
      </c>
      <c r="G200" s="2">
        <f t="shared" si="23"/>
        <v>1</v>
      </c>
      <c r="H200" s="2">
        <f>IF(G200=Training_Data!F200,1,0)</f>
        <v>1</v>
      </c>
    </row>
    <row r="201" spans="1:8" x14ac:dyDescent="0.2">
      <c r="A201" s="2">
        <f>$L$2+SUMPRODUCT($M$2:$Q$2,Training_Data!A201:E201)</f>
        <v>21112.422000000002</v>
      </c>
      <c r="B201" s="2">
        <f t="shared" si="18"/>
        <v>21112.422000000002</v>
      </c>
      <c r="C201" s="2">
        <f t="shared" si="19"/>
        <v>100</v>
      </c>
      <c r="D201" s="2">
        <f t="shared" si="20"/>
        <v>1</v>
      </c>
      <c r="E201" s="2">
        <f t="shared" si="21"/>
        <v>1</v>
      </c>
      <c r="F201" s="2">
        <f t="shared" si="22"/>
        <v>0.99</v>
      </c>
      <c r="G201" s="2">
        <f t="shared" si="23"/>
        <v>1</v>
      </c>
      <c r="H201" s="2">
        <f>IF(G201=Training_Data!F201,1,0)</f>
        <v>1</v>
      </c>
    </row>
    <row r="202" spans="1:8" x14ac:dyDescent="0.2">
      <c r="A202" s="2">
        <f>$L$2+SUMPRODUCT($M$2:$Q$2,Training_Data!A202:E202)</f>
        <v>1042.5310000000002</v>
      </c>
      <c r="B202" s="2">
        <f t="shared" si="18"/>
        <v>1042.5310000000002</v>
      </c>
      <c r="C202" s="2">
        <f t="shared" si="19"/>
        <v>100</v>
      </c>
      <c r="D202" s="2">
        <f t="shared" si="20"/>
        <v>1</v>
      </c>
      <c r="E202" s="2">
        <f t="shared" si="21"/>
        <v>1</v>
      </c>
      <c r="F202" s="2">
        <f t="shared" si="22"/>
        <v>0.99</v>
      </c>
      <c r="G202" s="2">
        <f t="shared" si="23"/>
        <v>1</v>
      </c>
      <c r="H202" s="2">
        <f>IF(G202=Training_Data!F202,1,0)</f>
        <v>1</v>
      </c>
    </row>
    <row r="203" spans="1:8" x14ac:dyDescent="0.2">
      <c r="A203" s="2">
        <f>$L$2+SUMPRODUCT($M$2:$Q$2,Training_Data!A203:E203)</f>
        <v>4245.6469999999999</v>
      </c>
      <c r="B203" s="2">
        <f t="shared" si="18"/>
        <v>4245.6469999999999</v>
      </c>
      <c r="C203" s="2">
        <f t="shared" si="19"/>
        <v>100</v>
      </c>
      <c r="D203" s="2">
        <f t="shared" si="20"/>
        <v>1</v>
      </c>
      <c r="E203" s="2">
        <f t="shared" si="21"/>
        <v>1</v>
      </c>
      <c r="F203" s="2">
        <f t="shared" si="22"/>
        <v>0.99</v>
      </c>
      <c r="G203" s="2">
        <f t="shared" si="23"/>
        <v>1</v>
      </c>
      <c r="H203" s="2">
        <f>IF(G203=Training_Data!F203,1,0)</f>
        <v>1</v>
      </c>
    </row>
    <row r="204" spans="1:8" x14ac:dyDescent="0.2">
      <c r="A204" s="2">
        <f>$L$2+SUMPRODUCT($M$2:$Q$2,Training_Data!A204:E204)</f>
        <v>4014.2999999999997</v>
      </c>
      <c r="B204" s="2">
        <f t="shared" si="18"/>
        <v>4014.2999999999997</v>
      </c>
      <c r="C204" s="2">
        <f t="shared" si="19"/>
        <v>100</v>
      </c>
      <c r="D204" s="2">
        <f t="shared" si="20"/>
        <v>1</v>
      </c>
      <c r="E204" s="2">
        <f t="shared" si="21"/>
        <v>1</v>
      </c>
      <c r="F204" s="2">
        <f t="shared" si="22"/>
        <v>0.99</v>
      </c>
      <c r="G204" s="2">
        <f t="shared" si="23"/>
        <v>1</v>
      </c>
      <c r="H204" s="2">
        <f>IF(G204=Training_Data!F204,1,0)</f>
        <v>1</v>
      </c>
    </row>
    <row r="205" spans="1:8" x14ac:dyDescent="0.2">
      <c r="A205" s="2">
        <f>$L$2+SUMPRODUCT($M$2:$Q$2,Training_Data!A205:E205)</f>
        <v>518.92800000000011</v>
      </c>
      <c r="B205" s="2">
        <f t="shared" si="18"/>
        <v>518.92800000000011</v>
      </c>
      <c r="C205" s="2">
        <f t="shared" si="19"/>
        <v>100</v>
      </c>
      <c r="D205" s="2">
        <f t="shared" si="20"/>
        <v>1</v>
      </c>
      <c r="E205" s="2">
        <f t="shared" si="21"/>
        <v>1</v>
      </c>
      <c r="F205" s="2">
        <f t="shared" si="22"/>
        <v>0.99</v>
      </c>
      <c r="G205" s="2">
        <f t="shared" si="23"/>
        <v>1</v>
      </c>
      <c r="H205" s="2">
        <f>IF(G205=Training_Data!F205,1,0)</f>
        <v>1</v>
      </c>
    </row>
    <row r="206" spans="1:8" x14ac:dyDescent="0.2">
      <c r="A206" s="2">
        <f>$L$2+SUMPRODUCT($M$2:$Q$2,Training_Data!A206:E206)</f>
        <v>137.27799999999999</v>
      </c>
      <c r="B206" s="2">
        <f t="shared" si="18"/>
        <v>137.27799999999999</v>
      </c>
      <c r="C206" s="2">
        <f t="shared" si="19"/>
        <v>100</v>
      </c>
      <c r="D206" s="2">
        <f t="shared" si="20"/>
        <v>1</v>
      </c>
      <c r="E206" s="2">
        <f t="shared" si="21"/>
        <v>1</v>
      </c>
      <c r="F206" s="2">
        <f t="shared" si="22"/>
        <v>0.99</v>
      </c>
      <c r="G206" s="2">
        <f t="shared" si="23"/>
        <v>1</v>
      </c>
      <c r="H206" s="2">
        <f>IF(G206=Training_Data!F206,1,0)</f>
        <v>1</v>
      </c>
    </row>
    <row r="207" spans="1:8" x14ac:dyDescent="0.2">
      <c r="A207" s="2">
        <f>$L$2+SUMPRODUCT($M$2:$Q$2,Training_Data!A207:E207)</f>
        <v>3214.9279999999999</v>
      </c>
      <c r="B207" s="2">
        <f t="shared" si="18"/>
        <v>3214.9279999999999</v>
      </c>
      <c r="C207" s="2">
        <f t="shared" si="19"/>
        <v>100</v>
      </c>
      <c r="D207" s="2">
        <f t="shared" si="20"/>
        <v>1</v>
      </c>
      <c r="E207" s="2">
        <f t="shared" si="21"/>
        <v>1</v>
      </c>
      <c r="F207" s="2">
        <f t="shared" si="22"/>
        <v>0.99</v>
      </c>
      <c r="G207" s="2">
        <f t="shared" si="23"/>
        <v>1</v>
      </c>
      <c r="H207" s="2">
        <f>IF(G207=Training_Data!F207,1,0)</f>
        <v>1</v>
      </c>
    </row>
    <row r="208" spans="1:8" x14ac:dyDescent="0.2">
      <c r="A208" s="2">
        <f>$L$2+SUMPRODUCT($M$2:$Q$2,Training_Data!A208:E208)</f>
        <v>2462.7280000000001</v>
      </c>
      <c r="B208" s="2">
        <f t="shared" si="18"/>
        <v>2462.7280000000001</v>
      </c>
      <c r="C208" s="2">
        <f t="shared" si="19"/>
        <v>100</v>
      </c>
      <c r="D208" s="2">
        <f t="shared" si="20"/>
        <v>1</v>
      </c>
      <c r="E208" s="2">
        <f t="shared" si="21"/>
        <v>1</v>
      </c>
      <c r="F208" s="2">
        <f t="shared" si="22"/>
        <v>0.99</v>
      </c>
      <c r="G208" s="2">
        <f t="shared" si="23"/>
        <v>1</v>
      </c>
      <c r="H208" s="2">
        <f>IF(G208=Training_Data!F208,1,0)</f>
        <v>1</v>
      </c>
    </row>
    <row r="209" spans="1:8" x14ac:dyDescent="0.2">
      <c r="A209" s="2">
        <f>$L$2+SUMPRODUCT($M$2:$Q$2,Training_Data!A209:E209)</f>
        <v>270.40899999999999</v>
      </c>
      <c r="B209" s="2">
        <f t="shared" si="18"/>
        <v>270.40899999999999</v>
      </c>
      <c r="C209" s="2">
        <f t="shared" si="19"/>
        <v>100</v>
      </c>
      <c r="D209" s="2">
        <f t="shared" si="20"/>
        <v>1</v>
      </c>
      <c r="E209" s="2">
        <f t="shared" si="21"/>
        <v>1</v>
      </c>
      <c r="F209" s="2">
        <f t="shared" si="22"/>
        <v>0.99</v>
      </c>
      <c r="G209" s="2">
        <f t="shared" si="23"/>
        <v>1</v>
      </c>
      <c r="H209" s="2">
        <f>IF(G209=Training_Data!F209,1,0)</f>
        <v>1</v>
      </c>
    </row>
    <row r="210" spans="1:8" x14ac:dyDescent="0.2">
      <c r="A210" s="2">
        <f>$L$2+SUMPRODUCT($M$2:$Q$2,Training_Data!A210:E210)</f>
        <v>274.34699999999998</v>
      </c>
      <c r="B210" s="2">
        <f t="shared" si="18"/>
        <v>274.34699999999998</v>
      </c>
      <c r="C210" s="2">
        <f t="shared" si="19"/>
        <v>100</v>
      </c>
      <c r="D210" s="2">
        <f t="shared" si="20"/>
        <v>1</v>
      </c>
      <c r="E210" s="2">
        <f t="shared" si="21"/>
        <v>1</v>
      </c>
      <c r="F210" s="2">
        <f t="shared" si="22"/>
        <v>0.99</v>
      </c>
      <c r="G210" s="2">
        <f t="shared" si="23"/>
        <v>1</v>
      </c>
      <c r="H210" s="2">
        <f>IF(G210=Training_Data!F210,1,0)</f>
        <v>1</v>
      </c>
    </row>
    <row r="211" spans="1:8" x14ac:dyDescent="0.2">
      <c r="A211" s="2">
        <f>$L$2+SUMPRODUCT($M$2:$Q$2,Training_Data!A211:E211)</f>
        <v>405.13499999999999</v>
      </c>
      <c r="B211" s="2">
        <f t="shared" si="18"/>
        <v>405.13499999999999</v>
      </c>
      <c r="C211" s="2">
        <f t="shared" si="19"/>
        <v>100</v>
      </c>
      <c r="D211" s="2">
        <f t="shared" si="20"/>
        <v>1</v>
      </c>
      <c r="E211" s="2">
        <f t="shared" si="21"/>
        <v>1</v>
      </c>
      <c r="F211" s="2">
        <f t="shared" si="22"/>
        <v>0.99</v>
      </c>
      <c r="G211" s="2">
        <f t="shared" si="23"/>
        <v>1</v>
      </c>
      <c r="H211" s="2">
        <f>IF(G211=Training_Data!F211,1,0)</f>
        <v>1</v>
      </c>
    </row>
    <row r="212" spans="1:8" x14ac:dyDescent="0.2">
      <c r="A212" s="2">
        <f>$L$2+SUMPRODUCT($M$2:$Q$2,Training_Data!A212:E212)</f>
        <v>28311.872000000003</v>
      </c>
      <c r="B212" s="2">
        <f t="shared" si="18"/>
        <v>28311.872000000003</v>
      </c>
      <c r="C212" s="2">
        <f t="shared" si="19"/>
        <v>100</v>
      </c>
      <c r="D212" s="2">
        <f t="shared" si="20"/>
        <v>1</v>
      </c>
      <c r="E212" s="2">
        <f t="shared" si="21"/>
        <v>1</v>
      </c>
      <c r="F212" s="2">
        <f t="shared" si="22"/>
        <v>0.99</v>
      </c>
      <c r="G212" s="2">
        <f t="shared" si="23"/>
        <v>1</v>
      </c>
      <c r="H212" s="2">
        <f>IF(G212=Training_Data!F212,1,0)</f>
        <v>1</v>
      </c>
    </row>
    <row r="213" spans="1:8" x14ac:dyDescent="0.2">
      <c r="A213" s="2">
        <f>$L$2+SUMPRODUCT($M$2:$Q$2,Training_Data!A213:E213)</f>
        <v>-7.0560000000000054</v>
      </c>
      <c r="B213" s="2">
        <f t="shared" si="18"/>
        <v>-7.0560000000000054</v>
      </c>
      <c r="C213" s="2">
        <f t="shared" si="19"/>
        <v>-7.0560000000000054</v>
      </c>
      <c r="D213" s="2">
        <f t="shared" si="20"/>
        <v>8.614773027106386E-4</v>
      </c>
      <c r="E213" s="2">
        <f t="shared" si="21"/>
        <v>0.01</v>
      </c>
      <c r="F213" s="2">
        <f t="shared" si="22"/>
        <v>0.01</v>
      </c>
      <c r="G213" s="2">
        <f t="shared" si="23"/>
        <v>0</v>
      </c>
      <c r="H213" s="2">
        <f>IF(G213=Training_Data!F213,1,0)</f>
        <v>0</v>
      </c>
    </row>
    <row r="214" spans="1:8" x14ac:dyDescent="0.2">
      <c r="A214" s="2">
        <f>$L$2+SUMPRODUCT($M$2:$Q$2,Training_Data!A214:E214)</f>
        <v>1713.8220000000001</v>
      </c>
      <c r="B214" s="2">
        <f t="shared" si="18"/>
        <v>1713.8220000000001</v>
      </c>
      <c r="C214" s="2">
        <f t="shared" si="19"/>
        <v>100</v>
      </c>
      <c r="D214" s="2">
        <f t="shared" si="20"/>
        <v>1</v>
      </c>
      <c r="E214" s="2">
        <f t="shared" si="21"/>
        <v>1</v>
      </c>
      <c r="F214" s="2">
        <f t="shared" si="22"/>
        <v>0.99</v>
      </c>
      <c r="G214" s="2">
        <f t="shared" si="23"/>
        <v>1</v>
      </c>
      <c r="H214" s="2">
        <f>IF(G214=Training_Data!F214,1,0)</f>
        <v>1</v>
      </c>
    </row>
    <row r="215" spans="1:8" x14ac:dyDescent="0.2">
      <c r="A215" s="2">
        <f>$L$2+SUMPRODUCT($M$2:$Q$2,Training_Data!A215:E215)</f>
        <v>194.13800000000001</v>
      </c>
      <c r="B215" s="2">
        <f t="shared" si="18"/>
        <v>194.13800000000001</v>
      </c>
      <c r="C215" s="2">
        <f t="shared" si="19"/>
        <v>100</v>
      </c>
      <c r="D215" s="2">
        <f t="shared" si="20"/>
        <v>1</v>
      </c>
      <c r="E215" s="2">
        <f t="shared" si="21"/>
        <v>1</v>
      </c>
      <c r="F215" s="2">
        <f t="shared" si="22"/>
        <v>0.99</v>
      </c>
      <c r="G215" s="2">
        <f t="shared" si="23"/>
        <v>1</v>
      </c>
      <c r="H215" s="2">
        <f>IF(G215=Training_Data!F215,1,0)</f>
        <v>1</v>
      </c>
    </row>
    <row r="216" spans="1:8" x14ac:dyDescent="0.2">
      <c r="A216" s="2">
        <f>$L$2+SUMPRODUCT($M$2:$Q$2,Training_Data!A216:E216)</f>
        <v>34.622000000000007</v>
      </c>
      <c r="B216" s="2">
        <f t="shared" si="18"/>
        <v>34.622000000000007</v>
      </c>
      <c r="C216" s="2">
        <f t="shared" si="19"/>
        <v>34.622000000000007</v>
      </c>
      <c r="D216" s="2">
        <f t="shared" si="20"/>
        <v>0.99999999999999911</v>
      </c>
      <c r="E216" s="2">
        <f t="shared" si="21"/>
        <v>0.99999999999999911</v>
      </c>
      <c r="F216" s="2">
        <f t="shared" si="22"/>
        <v>0.99</v>
      </c>
      <c r="G216" s="2">
        <f t="shared" si="23"/>
        <v>1</v>
      </c>
      <c r="H216" s="2">
        <f>IF(G216=Training_Data!F216,1,0)</f>
        <v>1</v>
      </c>
    </row>
    <row r="217" spans="1:8" x14ac:dyDescent="0.2">
      <c r="A217" s="2">
        <f>$L$2+SUMPRODUCT($M$2:$Q$2,Training_Data!A217:E217)</f>
        <v>11.153000000000002</v>
      </c>
      <c r="B217" s="2">
        <f t="shared" si="18"/>
        <v>11.153000000000002</v>
      </c>
      <c r="C217" s="2">
        <f t="shared" si="19"/>
        <v>11.153000000000002</v>
      </c>
      <c r="D217" s="2">
        <f t="shared" si="20"/>
        <v>0.99998566797955679</v>
      </c>
      <c r="E217" s="2">
        <f t="shared" si="21"/>
        <v>0.99998566797955679</v>
      </c>
      <c r="F217" s="2">
        <f t="shared" si="22"/>
        <v>0.99</v>
      </c>
      <c r="G217" s="2">
        <f t="shared" si="23"/>
        <v>1</v>
      </c>
      <c r="H217" s="2">
        <f>IF(G217=Training_Data!F217,1,0)</f>
        <v>1</v>
      </c>
    </row>
    <row r="218" spans="1:8" x14ac:dyDescent="0.2">
      <c r="A218" s="2">
        <f>$L$2+SUMPRODUCT($M$2:$Q$2,Training_Data!A218:E218)</f>
        <v>138.89399999999998</v>
      </c>
      <c r="B218" s="2">
        <f t="shared" si="18"/>
        <v>138.89399999999998</v>
      </c>
      <c r="C218" s="2">
        <f t="shared" si="19"/>
        <v>100</v>
      </c>
      <c r="D218" s="2">
        <f t="shared" si="20"/>
        <v>1</v>
      </c>
      <c r="E218" s="2">
        <f t="shared" si="21"/>
        <v>1</v>
      </c>
      <c r="F218" s="2">
        <f t="shared" si="22"/>
        <v>0.99</v>
      </c>
      <c r="G218" s="2">
        <f t="shared" si="23"/>
        <v>1</v>
      </c>
      <c r="H218" s="2">
        <f>IF(G218=Training_Data!F218,1,0)</f>
        <v>1</v>
      </c>
    </row>
    <row r="219" spans="1:8" x14ac:dyDescent="0.2">
      <c r="A219" s="2">
        <f>$L$2+SUMPRODUCT($M$2:$Q$2,Training_Data!A219:E219)</f>
        <v>279.45000000000005</v>
      </c>
      <c r="B219" s="2">
        <f t="shared" si="18"/>
        <v>279.45000000000005</v>
      </c>
      <c r="C219" s="2">
        <f t="shared" si="19"/>
        <v>100</v>
      </c>
      <c r="D219" s="2">
        <f t="shared" si="20"/>
        <v>1</v>
      </c>
      <c r="E219" s="2">
        <f t="shared" si="21"/>
        <v>1</v>
      </c>
      <c r="F219" s="2">
        <f t="shared" si="22"/>
        <v>0.99</v>
      </c>
      <c r="G219" s="2">
        <f t="shared" si="23"/>
        <v>1</v>
      </c>
      <c r="H219" s="2">
        <f>IF(G219=Training_Data!F219,1,0)</f>
        <v>1</v>
      </c>
    </row>
    <row r="220" spans="1:8" x14ac:dyDescent="0.2">
      <c r="A220" s="2">
        <f>$L$2+SUMPRODUCT($M$2:$Q$2,Training_Data!A220:E220)</f>
        <v>201.02499999999998</v>
      </c>
      <c r="B220" s="2">
        <f t="shared" si="18"/>
        <v>201.02499999999998</v>
      </c>
      <c r="C220" s="2">
        <f t="shared" si="19"/>
        <v>100</v>
      </c>
      <c r="D220" s="2">
        <f t="shared" si="20"/>
        <v>1</v>
      </c>
      <c r="E220" s="2">
        <f t="shared" si="21"/>
        <v>1</v>
      </c>
      <c r="F220" s="2">
        <f t="shared" si="22"/>
        <v>0.99</v>
      </c>
      <c r="G220" s="2">
        <f t="shared" si="23"/>
        <v>1</v>
      </c>
      <c r="H220" s="2">
        <f>IF(G220=Training_Data!F220,1,0)</f>
        <v>1</v>
      </c>
    </row>
    <row r="221" spans="1:8" x14ac:dyDescent="0.2">
      <c r="A221" s="2">
        <f>$L$2+SUMPRODUCT($M$2:$Q$2,Training_Data!A221:E221)</f>
        <v>105.42800000000001</v>
      </c>
      <c r="B221" s="2">
        <f t="shared" si="18"/>
        <v>105.42800000000001</v>
      </c>
      <c r="C221" s="2">
        <f t="shared" si="19"/>
        <v>100</v>
      </c>
      <c r="D221" s="2">
        <f t="shared" si="20"/>
        <v>1</v>
      </c>
      <c r="E221" s="2">
        <f t="shared" si="21"/>
        <v>1</v>
      </c>
      <c r="F221" s="2">
        <f t="shared" si="22"/>
        <v>0.99</v>
      </c>
      <c r="G221" s="2">
        <f t="shared" si="23"/>
        <v>1</v>
      </c>
      <c r="H221" s="2">
        <f>IF(G221=Training_Data!F221,1,0)</f>
        <v>1</v>
      </c>
    </row>
    <row r="222" spans="1:8" x14ac:dyDescent="0.2">
      <c r="A222" s="2">
        <f>$L$2+SUMPRODUCT($M$2:$Q$2,Training_Data!A222:E222)</f>
        <v>220.69</v>
      </c>
      <c r="B222" s="2">
        <f t="shared" si="18"/>
        <v>220.69</v>
      </c>
      <c r="C222" s="2">
        <f t="shared" si="19"/>
        <v>100</v>
      </c>
      <c r="D222" s="2">
        <f t="shared" si="20"/>
        <v>1</v>
      </c>
      <c r="E222" s="2">
        <f t="shared" si="21"/>
        <v>1</v>
      </c>
      <c r="F222" s="2">
        <f t="shared" si="22"/>
        <v>0.99</v>
      </c>
      <c r="G222" s="2">
        <f t="shared" si="23"/>
        <v>1</v>
      </c>
      <c r="H222" s="2">
        <f>IF(G222=Training_Data!F222,1,0)</f>
        <v>1</v>
      </c>
    </row>
    <row r="223" spans="1:8" x14ac:dyDescent="0.2">
      <c r="A223" s="2">
        <f>$L$2+SUMPRODUCT($M$2:$Q$2,Training_Data!A223:E223)</f>
        <v>95.421999999999997</v>
      </c>
      <c r="B223" s="2">
        <f t="shared" si="18"/>
        <v>95.421999999999997</v>
      </c>
      <c r="C223" s="2">
        <f t="shared" si="19"/>
        <v>95.421999999999997</v>
      </c>
      <c r="D223" s="2">
        <f t="shared" si="20"/>
        <v>1</v>
      </c>
      <c r="E223" s="2">
        <f t="shared" si="21"/>
        <v>1</v>
      </c>
      <c r="F223" s="2">
        <f t="shared" si="22"/>
        <v>0.99</v>
      </c>
      <c r="G223" s="2">
        <f t="shared" si="23"/>
        <v>1</v>
      </c>
      <c r="H223" s="2">
        <f>IF(G223=Training_Data!F223,1,0)</f>
        <v>1</v>
      </c>
    </row>
    <row r="224" spans="1:8" x14ac:dyDescent="0.2">
      <c r="A224" s="2">
        <f>$L$2+SUMPRODUCT($M$2:$Q$2,Training_Data!A224:E224)</f>
        <v>140.22499999999999</v>
      </c>
      <c r="B224" s="2">
        <f t="shared" si="18"/>
        <v>140.22499999999999</v>
      </c>
      <c r="C224" s="2">
        <f t="shared" si="19"/>
        <v>100</v>
      </c>
      <c r="D224" s="2">
        <f t="shared" si="20"/>
        <v>1</v>
      </c>
      <c r="E224" s="2">
        <f t="shared" si="21"/>
        <v>1</v>
      </c>
      <c r="F224" s="2">
        <f t="shared" si="22"/>
        <v>0.99</v>
      </c>
      <c r="G224" s="2">
        <f t="shared" si="23"/>
        <v>1</v>
      </c>
      <c r="H224" s="2">
        <f>IF(G224=Training_Data!F224,1,0)</f>
        <v>1</v>
      </c>
    </row>
    <row r="225" spans="1:8" x14ac:dyDescent="0.2">
      <c r="A225" s="2">
        <f>$L$2+SUMPRODUCT($M$2:$Q$2,Training_Data!A225:E225)</f>
        <v>22579.672000000002</v>
      </c>
      <c r="B225" s="2">
        <f t="shared" si="18"/>
        <v>22579.672000000002</v>
      </c>
      <c r="C225" s="2">
        <f t="shared" si="19"/>
        <v>100</v>
      </c>
      <c r="D225" s="2">
        <f t="shared" si="20"/>
        <v>1</v>
      </c>
      <c r="E225" s="2">
        <f t="shared" si="21"/>
        <v>1</v>
      </c>
      <c r="F225" s="2">
        <f t="shared" si="22"/>
        <v>0.99</v>
      </c>
      <c r="G225" s="2">
        <f t="shared" si="23"/>
        <v>1</v>
      </c>
      <c r="H225" s="2">
        <f>IF(G225=Training_Data!F225,1,0)</f>
        <v>1</v>
      </c>
    </row>
    <row r="226" spans="1:8" x14ac:dyDescent="0.2">
      <c r="A226" s="2">
        <f>$L$2+SUMPRODUCT($M$2:$Q$2,Training_Data!A226:E226)</f>
        <v>6121.0969999999998</v>
      </c>
      <c r="B226" s="2">
        <f t="shared" si="18"/>
        <v>6121.0969999999998</v>
      </c>
      <c r="C226" s="2">
        <f t="shared" si="19"/>
        <v>100</v>
      </c>
      <c r="D226" s="2">
        <f t="shared" si="20"/>
        <v>1</v>
      </c>
      <c r="E226" s="2">
        <f t="shared" si="21"/>
        <v>1</v>
      </c>
      <c r="F226" s="2">
        <f t="shared" si="22"/>
        <v>0.99</v>
      </c>
      <c r="G226" s="2">
        <f t="shared" si="23"/>
        <v>1</v>
      </c>
      <c r="H226" s="2">
        <f>IF(G226=Training_Data!F226,1,0)</f>
        <v>1</v>
      </c>
    </row>
    <row r="227" spans="1:8" x14ac:dyDescent="0.2">
      <c r="A227" s="2">
        <f>$L$2+SUMPRODUCT($M$2:$Q$2,Training_Data!A227:E227)</f>
        <v>3057.8</v>
      </c>
      <c r="B227" s="2">
        <f t="shared" si="18"/>
        <v>3057.8</v>
      </c>
      <c r="C227" s="2">
        <f t="shared" si="19"/>
        <v>100</v>
      </c>
      <c r="D227" s="2">
        <f t="shared" si="20"/>
        <v>1</v>
      </c>
      <c r="E227" s="2">
        <f t="shared" si="21"/>
        <v>1</v>
      </c>
      <c r="F227" s="2">
        <f t="shared" si="22"/>
        <v>0.99</v>
      </c>
      <c r="G227" s="2">
        <f t="shared" si="23"/>
        <v>1</v>
      </c>
      <c r="H227" s="2">
        <f>IF(G227=Training_Data!F227,1,0)</f>
        <v>1</v>
      </c>
    </row>
    <row r="228" spans="1:8" x14ac:dyDescent="0.2">
      <c r="A228" s="2">
        <f>$L$2+SUMPRODUCT($M$2:$Q$2,Training_Data!A228:E228)</f>
        <v>2253.4969999999998</v>
      </c>
      <c r="B228" s="2">
        <f t="shared" si="18"/>
        <v>2253.4969999999998</v>
      </c>
      <c r="C228" s="2">
        <f t="shared" si="19"/>
        <v>100</v>
      </c>
      <c r="D228" s="2">
        <f t="shared" si="20"/>
        <v>1</v>
      </c>
      <c r="E228" s="2">
        <f t="shared" si="21"/>
        <v>1</v>
      </c>
      <c r="F228" s="2">
        <f t="shared" si="22"/>
        <v>0.99</v>
      </c>
      <c r="G228" s="2">
        <f t="shared" si="23"/>
        <v>1</v>
      </c>
      <c r="H228" s="2">
        <f>IF(G228=Training_Data!F228,1,0)</f>
        <v>1</v>
      </c>
    </row>
    <row r="229" spans="1:8" x14ac:dyDescent="0.2">
      <c r="A229" s="2">
        <f>$L$2+SUMPRODUCT($M$2:$Q$2,Training_Data!A229:E229)</f>
        <v>21456.322</v>
      </c>
      <c r="B229" s="2">
        <f t="shared" si="18"/>
        <v>21456.322</v>
      </c>
      <c r="C229" s="2">
        <f t="shared" si="19"/>
        <v>100</v>
      </c>
      <c r="D229" s="2">
        <f t="shared" si="20"/>
        <v>1</v>
      </c>
      <c r="E229" s="2">
        <f t="shared" si="21"/>
        <v>1</v>
      </c>
      <c r="F229" s="2">
        <f t="shared" si="22"/>
        <v>0.99</v>
      </c>
      <c r="G229" s="2">
        <f t="shared" si="23"/>
        <v>1</v>
      </c>
      <c r="H229" s="2">
        <f>IF(G229=Training_Data!F229,1,0)</f>
        <v>1</v>
      </c>
    </row>
    <row r="230" spans="1:8" x14ac:dyDescent="0.2">
      <c r="A230" s="2">
        <f>$L$2+SUMPRODUCT($M$2:$Q$2,Training_Data!A230:E230)</f>
        <v>8289.487000000001</v>
      </c>
      <c r="B230" s="2">
        <f t="shared" si="18"/>
        <v>8289.487000000001</v>
      </c>
      <c r="C230" s="2">
        <f t="shared" si="19"/>
        <v>100</v>
      </c>
      <c r="D230" s="2">
        <f t="shared" si="20"/>
        <v>1</v>
      </c>
      <c r="E230" s="2">
        <f t="shared" si="21"/>
        <v>1</v>
      </c>
      <c r="F230" s="2">
        <f t="shared" si="22"/>
        <v>0.99</v>
      </c>
      <c r="G230" s="2">
        <f t="shared" si="23"/>
        <v>1</v>
      </c>
      <c r="H230" s="2">
        <f>IF(G230=Training_Data!F230,1,0)</f>
        <v>1</v>
      </c>
    </row>
    <row r="231" spans="1:8" x14ac:dyDescent="0.2">
      <c r="A231" s="2">
        <f>$L$2+SUMPRODUCT($M$2:$Q$2,Training_Data!A231:E231)</f>
        <v>-18.303000000000001</v>
      </c>
      <c r="B231" s="2">
        <f t="shared" si="18"/>
        <v>-18.303000000000001</v>
      </c>
      <c r="C231" s="2">
        <f t="shared" si="19"/>
        <v>-18.303000000000001</v>
      </c>
      <c r="D231" s="2">
        <f t="shared" si="20"/>
        <v>1.1248849150648881E-8</v>
      </c>
      <c r="E231" s="2">
        <f t="shared" si="21"/>
        <v>0.01</v>
      </c>
      <c r="F231" s="2">
        <f t="shared" si="22"/>
        <v>0.01</v>
      </c>
      <c r="G231" s="2">
        <f t="shared" si="23"/>
        <v>0</v>
      </c>
      <c r="H231" s="2">
        <f>IF(G231=Training_Data!F231,1,0)</f>
        <v>0</v>
      </c>
    </row>
    <row r="232" spans="1:8" x14ac:dyDescent="0.2">
      <c r="A232" s="2">
        <f>$L$2+SUMPRODUCT($M$2:$Q$2,Training_Data!A232:E232)</f>
        <v>31468.55</v>
      </c>
      <c r="B232" s="2">
        <f t="shared" si="18"/>
        <v>31468.55</v>
      </c>
      <c r="C232" s="2">
        <f t="shared" si="19"/>
        <v>100</v>
      </c>
      <c r="D232" s="2">
        <f t="shared" si="20"/>
        <v>1</v>
      </c>
      <c r="E232" s="2">
        <f t="shared" si="21"/>
        <v>1</v>
      </c>
      <c r="F232" s="2">
        <f t="shared" si="22"/>
        <v>0.99</v>
      </c>
      <c r="G232" s="2">
        <f t="shared" si="23"/>
        <v>1</v>
      </c>
      <c r="H232" s="2">
        <f>IF(G232=Training_Data!F232,1,0)</f>
        <v>1</v>
      </c>
    </row>
    <row r="233" spans="1:8" x14ac:dyDescent="0.2">
      <c r="A233" s="2">
        <f>$L$2+SUMPRODUCT($M$2:$Q$2,Training_Data!A233:E233)</f>
        <v>-15.427999999999997</v>
      </c>
      <c r="B233" s="2">
        <f t="shared" si="18"/>
        <v>-15.427999999999997</v>
      </c>
      <c r="C233" s="2">
        <f t="shared" si="19"/>
        <v>-15.427999999999997</v>
      </c>
      <c r="D233" s="2">
        <f t="shared" si="20"/>
        <v>1.9939058455989761E-7</v>
      </c>
      <c r="E233" s="2">
        <f t="shared" si="21"/>
        <v>0.01</v>
      </c>
      <c r="F233" s="2">
        <f t="shared" si="22"/>
        <v>0.01</v>
      </c>
      <c r="G233" s="2">
        <f t="shared" si="23"/>
        <v>0</v>
      </c>
      <c r="H233" s="2">
        <f>IF(G233=Training_Data!F233,1,0)</f>
        <v>0</v>
      </c>
    </row>
    <row r="234" spans="1:8" x14ac:dyDescent="0.2">
      <c r="A234" s="2">
        <f>$L$2+SUMPRODUCT($M$2:$Q$2,Training_Data!A234:E234)</f>
        <v>1300.3220000000001</v>
      </c>
      <c r="B234" s="2">
        <f t="shared" si="18"/>
        <v>1300.3220000000001</v>
      </c>
      <c r="C234" s="2">
        <f t="shared" si="19"/>
        <v>100</v>
      </c>
      <c r="D234" s="2">
        <f t="shared" si="20"/>
        <v>1</v>
      </c>
      <c r="E234" s="2">
        <f t="shared" si="21"/>
        <v>1</v>
      </c>
      <c r="F234" s="2">
        <f t="shared" si="22"/>
        <v>0.99</v>
      </c>
      <c r="G234" s="2">
        <f t="shared" si="23"/>
        <v>1</v>
      </c>
      <c r="H234" s="2">
        <f>IF(G234=Training_Data!F234,1,0)</f>
        <v>1</v>
      </c>
    </row>
    <row r="235" spans="1:8" x14ac:dyDescent="0.2">
      <c r="A235" s="2">
        <f>$L$2+SUMPRODUCT($M$2:$Q$2,Training_Data!A235:E235)</f>
        <v>64.75</v>
      </c>
      <c r="B235" s="2">
        <f t="shared" si="18"/>
        <v>64.75</v>
      </c>
      <c r="C235" s="2">
        <f t="shared" si="19"/>
        <v>64.75</v>
      </c>
      <c r="D235" s="2">
        <f t="shared" si="20"/>
        <v>1</v>
      </c>
      <c r="E235" s="2">
        <f t="shared" si="21"/>
        <v>1</v>
      </c>
      <c r="F235" s="2">
        <f t="shared" si="22"/>
        <v>0.99</v>
      </c>
      <c r="G235" s="2">
        <f t="shared" si="23"/>
        <v>1</v>
      </c>
      <c r="H235" s="2">
        <f>IF(G235=Training_Data!F235,1,0)</f>
        <v>1</v>
      </c>
    </row>
    <row r="236" spans="1:8" x14ac:dyDescent="0.2">
      <c r="A236" s="2">
        <f>$L$2+SUMPRODUCT($M$2:$Q$2,Training_Data!A236:E236)</f>
        <v>220.41200000000001</v>
      </c>
      <c r="B236" s="2">
        <f t="shared" si="18"/>
        <v>220.41200000000001</v>
      </c>
      <c r="C236" s="2">
        <f t="shared" si="19"/>
        <v>100</v>
      </c>
      <c r="D236" s="2">
        <f t="shared" si="20"/>
        <v>1</v>
      </c>
      <c r="E236" s="2">
        <f t="shared" si="21"/>
        <v>1</v>
      </c>
      <c r="F236" s="2">
        <f t="shared" si="22"/>
        <v>0.99</v>
      </c>
      <c r="G236" s="2">
        <f t="shared" si="23"/>
        <v>1</v>
      </c>
      <c r="H236" s="2">
        <f>IF(G236=Training_Data!F236,1,0)</f>
        <v>1</v>
      </c>
    </row>
    <row r="237" spans="1:8" x14ac:dyDescent="0.2">
      <c r="A237" s="2">
        <f>$L$2+SUMPRODUCT($M$2:$Q$2,Training_Data!A237:E237)</f>
        <v>101.003</v>
      </c>
      <c r="B237" s="2">
        <f t="shared" si="18"/>
        <v>101.003</v>
      </c>
      <c r="C237" s="2">
        <f t="shared" si="19"/>
        <v>100</v>
      </c>
      <c r="D237" s="2">
        <f t="shared" si="20"/>
        <v>1</v>
      </c>
      <c r="E237" s="2">
        <f t="shared" si="21"/>
        <v>1</v>
      </c>
      <c r="F237" s="2">
        <f t="shared" si="22"/>
        <v>0.99</v>
      </c>
      <c r="G237" s="2">
        <f t="shared" si="23"/>
        <v>1</v>
      </c>
      <c r="H237" s="2">
        <f>IF(G237=Training_Data!F237,1,0)</f>
        <v>1</v>
      </c>
    </row>
    <row r="238" spans="1:8" x14ac:dyDescent="0.2">
      <c r="A238" s="2">
        <f>$L$2+SUMPRODUCT($M$2:$Q$2,Training_Data!A238:E238)</f>
        <v>1111.1500000000001</v>
      </c>
      <c r="B238" s="2">
        <f t="shared" si="18"/>
        <v>1111.1500000000001</v>
      </c>
      <c r="C238" s="2">
        <f t="shared" si="19"/>
        <v>100</v>
      </c>
      <c r="D238" s="2">
        <f t="shared" si="20"/>
        <v>1</v>
      </c>
      <c r="E238" s="2">
        <f t="shared" si="21"/>
        <v>1</v>
      </c>
      <c r="F238" s="2">
        <f t="shared" si="22"/>
        <v>0.99</v>
      </c>
      <c r="G238" s="2">
        <f t="shared" si="23"/>
        <v>1</v>
      </c>
      <c r="H238" s="2">
        <f>IF(G238=Training_Data!F238,1,0)</f>
        <v>1</v>
      </c>
    </row>
    <row r="239" spans="1:8" x14ac:dyDescent="0.2">
      <c r="A239" s="2">
        <f>$L$2+SUMPRODUCT($M$2:$Q$2,Training_Data!A239:E239)</f>
        <v>57905.606999999996</v>
      </c>
      <c r="B239" s="2">
        <f t="shared" si="18"/>
        <v>57905.606999999996</v>
      </c>
      <c r="C239" s="2">
        <f t="shared" si="19"/>
        <v>100</v>
      </c>
      <c r="D239" s="2">
        <f t="shared" si="20"/>
        <v>1</v>
      </c>
      <c r="E239" s="2">
        <f t="shared" si="21"/>
        <v>1</v>
      </c>
      <c r="F239" s="2">
        <f t="shared" si="22"/>
        <v>0.99</v>
      </c>
      <c r="G239" s="2">
        <f t="shared" si="23"/>
        <v>1</v>
      </c>
      <c r="H239" s="2">
        <f>IF(G239=Training_Data!F239,1,0)</f>
        <v>1</v>
      </c>
    </row>
    <row r="240" spans="1:8" x14ac:dyDescent="0.2">
      <c r="A240" s="2">
        <f>$L$2+SUMPRODUCT($M$2:$Q$2,Training_Data!A240:E240)</f>
        <v>6522.5</v>
      </c>
      <c r="B240" s="2">
        <f t="shared" si="18"/>
        <v>6522.5</v>
      </c>
      <c r="C240" s="2">
        <f t="shared" si="19"/>
        <v>100</v>
      </c>
      <c r="D240" s="2">
        <f t="shared" si="20"/>
        <v>1</v>
      </c>
      <c r="E240" s="2">
        <f t="shared" si="21"/>
        <v>1</v>
      </c>
      <c r="F240" s="2">
        <f t="shared" si="22"/>
        <v>0.99</v>
      </c>
      <c r="G240" s="2">
        <f t="shared" si="23"/>
        <v>1</v>
      </c>
      <c r="H240" s="2">
        <f>IF(G240=Training_Data!F240,1,0)</f>
        <v>1</v>
      </c>
    </row>
    <row r="241" spans="1:8" x14ac:dyDescent="0.2">
      <c r="A241" s="2">
        <f>$L$2+SUMPRODUCT($M$2:$Q$2,Training_Data!A241:E241)</f>
        <v>408.78100000000001</v>
      </c>
      <c r="B241" s="2">
        <f t="shared" si="18"/>
        <v>408.78100000000001</v>
      </c>
      <c r="C241" s="2">
        <f t="shared" si="19"/>
        <v>100</v>
      </c>
      <c r="D241" s="2">
        <f t="shared" si="20"/>
        <v>1</v>
      </c>
      <c r="E241" s="2">
        <f t="shared" si="21"/>
        <v>1</v>
      </c>
      <c r="F241" s="2">
        <f t="shared" si="22"/>
        <v>0.99</v>
      </c>
      <c r="G241" s="2">
        <f t="shared" si="23"/>
        <v>1</v>
      </c>
      <c r="H241" s="2">
        <f>IF(G241=Training_Data!F241,1,0)</f>
        <v>1</v>
      </c>
    </row>
    <row r="242" spans="1:8" x14ac:dyDescent="0.2">
      <c r="A242" s="2">
        <f>$L$2+SUMPRODUCT($M$2:$Q$2,Training_Data!A242:E242)</f>
        <v>1534.9500000000003</v>
      </c>
      <c r="B242" s="2">
        <f t="shared" si="18"/>
        <v>1534.9500000000003</v>
      </c>
      <c r="C242" s="2">
        <f t="shared" si="19"/>
        <v>100</v>
      </c>
      <c r="D242" s="2">
        <f t="shared" si="20"/>
        <v>1</v>
      </c>
      <c r="E242" s="2">
        <f t="shared" si="21"/>
        <v>1</v>
      </c>
      <c r="F242" s="2">
        <f t="shared" si="22"/>
        <v>0.99</v>
      </c>
      <c r="G242" s="2">
        <f t="shared" si="23"/>
        <v>1</v>
      </c>
      <c r="H242" s="2">
        <f>IF(G242=Training_Data!F242,1,0)</f>
        <v>1</v>
      </c>
    </row>
    <row r="243" spans="1:8" x14ac:dyDescent="0.2">
      <c r="A243" s="2">
        <f>$L$2+SUMPRODUCT($M$2:$Q$2,Training_Data!A243:E243)</f>
        <v>167.07500000000002</v>
      </c>
      <c r="B243" s="2">
        <f t="shared" si="18"/>
        <v>167.07500000000002</v>
      </c>
      <c r="C243" s="2">
        <f t="shared" si="19"/>
        <v>100</v>
      </c>
      <c r="D243" s="2">
        <f t="shared" si="20"/>
        <v>1</v>
      </c>
      <c r="E243" s="2">
        <f t="shared" si="21"/>
        <v>1</v>
      </c>
      <c r="F243" s="2">
        <f t="shared" si="22"/>
        <v>0.99</v>
      </c>
      <c r="G243" s="2">
        <f t="shared" si="23"/>
        <v>1</v>
      </c>
      <c r="H243" s="2">
        <f>IF(G243=Training_Data!F243,1,0)</f>
        <v>1</v>
      </c>
    </row>
    <row r="244" spans="1:8" x14ac:dyDescent="0.2">
      <c r="A244" s="2">
        <f>$L$2+SUMPRODUCT($M$2:$Q$2,Training_Data!A244:E244)</f>
        <v>3891.7749999999996</v>
      </c>
      <c r="B244" s="2">
        <f t="shared" si="18"/>
        <v>3891.7749999999996</v>
      </c>
      <c r="C244" s="2">
        <f t="shared" si="19"/>
        <v>100</v>
      </c>
      <c r="D244" s="2">
        <f t="shared" si="20"/>
        <v>1</v>
      </c>
      <c r="E244" s="2">
        <f t="shared" si="21"/>
        <v>1</v>
      </c>
      <c r="F244" s="2">
        <f t="shared" si="22"/>
        <v>0.99</v>
      </c>
      <c r="G244" s="2">
        <f t="shared" si="23"/>
        <v>1</v>
      </c>
      <c r="H244" s="2">
        <f>IF(G244=Training_Data!F244,1,0)</f>
        <v>1</v>
      </c>
    </row>
    <row r="245" spans="1:8" x14ac:dyDescent="0.2">
      <c r="A245" s="2">
        <f>$L$2+SUMPRODUCT($M$2:$Q$2,Training_Data!A245:E245)</f>
        <v>598.42200000000003</v>
      </c>
      <c r="B245" s="2">
        <f t="shared" si="18"/>
        <v>598.42200000000003</v>
      </c>
      <c r="C245" s="2">
        <f t="shared" si="19"/>
        <v>100</v>
      </c>
      <c r="D245" s="2">
        <f t="shared" si="20"/>
        <v>1</v>
      </c>
      <c r="E245" s="2">
        <f t="shared" si="21"/>
        <v>1</v>
      </c>
      <c r="F245" s="2">
        <f t="shared" si="22"/>
        <v>0.99</v>
      </c>
      <c r="G245" s="2">
        <f t="shared" si="23"/>
        <v>1</v>
      </c>
      <c r="H245" s="2">
        <f>IF(G245=Training_Data!F245,1,0)</f>
        <v>1</v>
      </c>
    </row>
    <row r="246" spans="1:8" x14ac:dyDescent="0.2">
      <c r="A246" s="2">
        <f>$L$2+SUMPRODUCT($M$2:$Q$2,Training_Data!A246:E246)</f>
        <v>9614.6530000000002</v>
      </c>
      <c r="B246" s="2">
        <f t="shared" si="18"/>
        <v>9614.6530000000002</v>
      </c>
      <c r="C246" s="2">
        <f t="shared" si="19"/>
        <v>100</v>
      </c>
      <c r="D246" s="2">
        <f t="shared" si="20"/>
        <v>1</v>
      </c>
      <c r="E246" s="2">
        <f t="shared" si="21"/>
        <v>1</v>
      </c>
      <c r="F246" s="2">
        <f t="shared" si="22"/>
        <v>0.99</v>
      </c>
      <c r="G246" s="2">
        <f t="shared" si="23"/>
        <v>1</v>
      </c>
      <c r="H246" s="2">
        <f>IF(G246=Training_Data!F246,1,0)</f>
        <v>1</v>
      </c>
    </row>
    <row r="247" spans="1:8" x14ac:dyDescent="0.2">
      <c r="A247" s="2">
        <f>$L$2+SUMPRODUCT($M$2:$Q$2,Training_Data!A247:E247)</f>
        <v>139.14999999999998</v>
      </c>
      <c r="B247" s="2">
        <f t="shared" si="18"/>
        <v>139.14999999999998</v>
      </c>
      <c r="C247" s="2">
        <f t="shared" si="19"/>
        <v>100</v>
      </c>
      <c r="D247" s="2">
        <f t="shared" si="20"/>
        <v>1</v>
      </c>
      <c r="E247" s="2">
        <f t="shared" si="21"/>
        <v>1</v>
      </c>
      <c r="F247" s="2">
        <f t="shared" si="22"/>
        <v>0.99</v>
      </c>
      <c r="G247" s="2">
        <f t="shared" si="23"/>
        <v>1</v>
      </c>
      <c r="H247" s="2">
        <f>IF(G247=Training_Data!F247,1,0)</f>
        <v>1</v>
      </c>
    </row>
    <row r="248" spans="1:8" x14ac:dyDescent="0.2">
      <c r="A248" s="2">
        <f>$L$2+SUMPRODUCT($M$2:$Q$2,Training_Data!A248:E248)</f>
        <v>470.45</v>
      </c>
      <c r="B248" s="2">
        <f t="shared" si="18"/>
        <v>470.45</v>
      </c>
      <c r="C248" s="2">
        <f t="shared" si="19"/>
        <v>100</v>
      </c>
      <c r="D248" s="2">
        <f t="shared" si="20"/>
        <v>1</v>
      </c>
      <c r="E248" s="2">
        <f t="shared" si="21"/>
        <v>1</v>
      </c>
      <c r="F248" s="2">
        <f t="shared" si="22"/>
        <v>0.99</v>
      </c>
      <c r="G248" s="2">
        <f t="shared" si="23"/>
        <v>1</v>
      </c>
      <c r="H248" s="2">
        <f>IF(G248=Training_Data!F248,1,0)</f>
        <v>0</v>
      </c>
    </row>
    <row r="249" spans="1:8" x14ac:dyDescent="0.2">
      <c r="A249" s="2">
        <f>$L$2+SUMPRODUCT($M$2:$Q$2,Training_Data!A249:E249)</f>
        <v>191.399</v>
      </c>
      <c r="B249" s="2">
        <f t="shared" si="18"/>
        <v>191.399</v>
      </c>
      <c r="C249" s="2">
        <f t="shared" si="19"/>
        <v>100</v>
      </c>
      <c r="D249" s="2">
        <f t="shared" si="20"/>
        <v>1</v>
      </c>
      <c r="E249" s="2">
        <f t="shared" si="21"/>
        <v>1</v>
      </c>
      <c r="F249" s="2">
        <f t="shared" si="22"/>
        <v>0.99</v>
      </c>
      <c r="G249" s="2">
        <f t="shared" si="23"/>
        <v>1</v>
      </c>
      <c r="H249" s="2">
        <f>IF(G249=Training_Data!F249,1,0)</f>
        <v>0</v>
      </c>
    </row>
    <row r="250" spans="1:8" x14ac:dyDescent="0.2">
      <c r="A250" s="2">
        <f>$L$2+SUMPRODUCT($M$2:$Q$2,Training_Data!A250:E250)</f>
        <v>174.8</v>
      </c>
      <c r="B250" s="2">
        <f t="shared" si="18"/>
        <v>174.8</v>
      </c>
      <c r="C250" s="2">
        <f t="shared" si="19"/>
        <v>100</v>
      </c>
      <c r="D250" s="2">
        <f t="shared" si="20"/>
        <v>1</v>
      </c>
      <c r="E250" s="2">
        <f t="shared" si="21"/>
        <v>1</v>
      </c>
      <c r="F250" s="2">
        <f t="shared" si="22"/>
        <v>0.99</v>
      </c>
      <c r="G250" s="2">
        <f t="shared" si="23"/>
        <v>1</v>
      </c>
      <c r="H250" s="2">
        <f>IF(G250=Training_Data!F250,1,0)</f>
        <v>0</v>
      </c>
    </row>
    <row r="251" spans="1:8" x14ac:dyDescent="0.2">
      <c r="A251" s="2">
        <f>$L$2+SUMPRODUCT($M$2:$Q$2,Training_Data!A251:E251)</f>
        <v>3467.085</v>
      </c>
      <c r="B251" s="2">
        <f t="shared" si="18"/>
        <v>3467.085</v>
      </c>
      <c r="C251" s="2">
        <f t="shared" si="19"/>
        <v>100</v>
      </c>
      <c r="D251" s="2">
        <f t="shared" si="20"/>
        <v>1</v>
      </c>
      <c r="E251" s="2">
        <f t="shared" si="21"/>
        <v>1</v>
      </c>
      <c r="F251" s="2">
        <f t="shared" si="22"/>
        <v>0.99</v>
      </c>
      <c r="G251" s="2">
        <f t="shared" si="23"/>
        <v>1</v>
      </c>
      <c r="H251" s="2">
        <f>IF(G251=Training_Data!F251,1,0)</f>
        <v>0</v>
      </c>
    </row>
    <row r="252" spans="1:8" x14ac:dyDescent="0.2">
      <c r="A252" s="2">
        <f>$L$2+SUMPRODUCT($M$2:$Q$2,Training_Data!A252:E252)</f>
        <v>158.39699999999999</v>
      </c>
      <c r="B252" s="2">
        <f t="shared" si="18"/>
        <v>158.39699999999999</v>
      </c>
      <c r="C252" s="2">
        <f t="shared" si="19"/>
        <v>100</v>
      </c>
      <c r="D252" s="2">
        <f t="shared" si="20"/>
        <v>1</v>
      </c>
      <c r="E252" s="2">
        <f t="shared" si="21"/>
        <v>1</v>
      </c>
      <c r="F252" s="2">
        <f t="shared" si="22"/>
        <v>0.99</v>
      </c>
      <c r="G252" s="2">
        <f t="shared" si="23"/>
        <v>1</v>
      </c>
      <c r="H252" s="2">
        <f>IF(G252=Training_Data!F252,1,0)</f>
        <v>0</v>
      </c>
    </row>
    <row r="253" spans="1:8" x14ac:dyDescent="0.2">
      <c r="A253" s="2">
        <f>$L$2+SUMPRODUCT($M$2:$Q$2,Training_Data!A253:E253)</f>
        <v>370.31200000000001</v>
      </c>
      <c r="B253" s="2">
        <f t="shared" si="18"/>
        <v>370.31200000000001</v>
      </c>
      <c r="C253" s="2">
        <f t="shared" si="19"/>
        <v>100</v>
      </c>
      <c r="D253" s="2">
        <f t="shared" si="20"/>
        <v>1</v>
      </c>
      <c r="E253" s="2">
        <f t="shared" si="21"/>
        <v>1</v>
      </c>
      <c r="F253" s="2">
        <f t="shared" si="22"/>
        <v>0.99</v>
      </c>
      <c r="G253" s="2">
        <f t="shared" si="23"/>
        <v>1</v>
      </c>
      <c r="H253" s="2">
        <f>IF(G253=Training_Data!F253,1,0)</f>
        <v>0</v>
      </c>
    </row>
    <row r="254" spans="1:8" x14ac:dyDescent="0.2">
      <c r="A254" s="2">
        <f>$L$2+SUMPRODUCT($M$2:$Q$2,Training_Data!A254:E254)</f>
        <v>-42.253</v>
      </c>
      <c r="B254" s="2">
        <f t="shared" si="18"/>
        <v>-42.253</v>
      </c>
      <c r="C254" s="2">
        <f t="shared" si="19"/>
        <v>-42.253</v>
      </c>
      <c r="D254" s="2">
        <f t="shared" si="20"/>
        <v>4.4643193740544406E-19</v>
      </c>
      <c r="E254" s="2">
        <f t="shared" si="21"/>
        <v>0.01</v>
      </c>
      <c r="F254" s="2">
        <f t="shared" si="22"/>
        <v>0.01</v>
      </c>
      <c r="G254" s="2">
        <f t="shared" si="23"/>
        <v>0</v>
      </c>
      <c r="H254" s="2">
        <f>IF(G254=Training_Data!F254,1,0)</f>
        <v>1</v>
      </c>
    </row>
    <row r="255" spans="1:8" x14ac:dyDescent="0.2">
      <c r="A255" s="2">
        <f>$L$2+SUMPRODUCT($M$2:$Q$2,Training_Data!A255:E255)</f>
        <v>348.887</v>
      </c>
      <c r="B255" s="2">
        <f t="shared" si="18"/>
        <v>348.887</v>
      </c>
      <c r="C255" s="2">
        <f t="shared" si="19"/>
        <v>100</v>
      </c>
      <c r="D255" s="2">
        <f t="shared" si="20"/>
        <v>1</v>
      </c>
      <c r="E255" s="2">
        <f t="shared" si="21"/>
        <v>1</v>
      </c>
      <c r="F255" s="2">
        <f t="shared" si="22"/>
        <v>0.99</v>
      </c>
      <c r="G255" s="2">
        <f t="shared" si="23"/>
        <v>1</v>
      </c>
      <c r="H255" s="2">
        <f>IF(G255=Training_Data!F255,1,0)</f>
        <v>0</v>
      </c>
    </row>
    <row r="256" spans="1:8" x14ac:dyDescent="0.2">
      <c r="A256" s="2">
        <f>$L$2+SUMPRODUCT($M$2:$Q$2,Training_Data!A256:E256)</f>
        <v>312.02199999999999</v>
      </c>
      <c r="B256" s="2">
        <f t="shared" si="18"/>
        <v>312.02199999999999</v>
      </c>
      <c r="C256" s="2">
        <f t="shared" si="19"/>
        <v>100</v>
      </c>
      <c r="D256" s="2">
        <f t="shared" si="20"/>
        <v>1</v>
      </c>
      <c r="E256" s="2">
        <f t="shared" si="21"/>
        <v>1</v>
      </c>
      <c r="F256" s="2">
        <f t="shared" si="22"/>
        <v>0.99</v>
      </c>
      <c r="G256" s="2">
        <f t="shared" si="23"/>
        <v>1</v>
      </c>
      <c r="H256" s="2">
        <f>IF(G256=Training_Data!F256,1,0)</f>
        <v>0</v>
      </c>
    </row>
    <row r="257" spans="1:8" x14ac:dyDescent="0.2">
      <c r="A257" s="2">
        <f>$L$2+SUMPRODUCT($M$2:$Q$2,Training_Data!A257:E257)</f>
        <v>148.81199999999998</v>
      </c>
      <c r="B257" s="2">
        <f t="shared" si="18"/>
        <v>148.81199999999998</v>
      </c>
      <c r="C257" s="2">
        <f t="shared" si="19"/>
        <v>100</v>
      </c>
      <c r="D257" s="2">
        <f t="shared" si="20"/>
        <v>1</v>
      </c>
      <c r="E257" s="2">
        <f t="shared" si="21"/>
        <v>1</v>
      </c>
      <c r="F257" s="2">
        <f t="shared" si="22"/>
        <v>0.99</v>
      </c>
      <c r="G257" s="2">
        <f t="shared" si="23"/>
        <v>1</v>
      </c>
      <c r="H257" s="2">
        <f>IF(G257=Training_Data!F257,1,0)</f>
        <v>0</v>
      </c>
    </row>
    <row r="258" spans="1:8" x14ac:dyDescent="0.2">
      <c r="A258" s="2">
        <f>$L$2+SUMPRODUCT($M$2:$Q$2,Training_Data!A258:E258)</f>
        <v>2481.9870000000001</v>
      </c>
      <c r="B258" s="2">
        <f t="shared" si="18"/>
        <v>2481.9870000000001</v>
      </c>
      <c r="C258" s="2">
        <f t="shared" si="19"/>
        <v>100</v>
      </c>
      <c r="D258" s="2">
        <f t="shared" si="20"/>
        <v>1</v>
      </c>
      <c r="E258" s="2">
        <f t="shared" si="21"/>
        <v>1</v>
      </c>
      <c r="F258" s="2">
        <f t="shared" si="22"/>
        <v>0.99</v>
      </c>
      <c r="G258" s="2">
        <f t="shared" si="23"/>
        <v>1</v>
      </c>
      <c r="H258" s="2">
        <f>IF(G258=Training_Data!F258,1,0)</f>
        <v>0</v>
      </c>
    </row>
    <row r="259" spans="1:8" x14ac:dyDescent="0.2">
      <c r="A259" s="2">
        <f>$L$2+SUMPRODUCT($M$2:$Q$2,Training_Data!A259:E259)</f>
        <v>120.86499999999999</v>
      </c>
      <c r="B259" s="2">
        <f t="shared" ref="B259:B322" si="24">IF(A259&lt;-100,-100,A259)</f>
        <v>120.86499999999999</v>
      </c>
      <c r="C259" s="2">
        <f t="shared" ref="C259:C322" si="25">IF(B259&gt;100,100,B259)</f>
        <v>100</v>
      </c>
      <c r="D259" s="2">
        <f t="shared" ref="D259:D322" si="26">1/(1+EXP(-C259))</f>
        <v>1</v>
      </c>
      <c r="E259" s="2">
        <f t="shared" ref="E259:E322" si="27">IF(D259&lt;0.01,0.01,D259)</f>
        <v>1</v>
      </c>
      <c r="F259" s="2">
        <f t="shared" ref="F259:F322" si="28">IF(E259&gt;0.99,0.99, E259)</f>
        <v>0.99</v>
      </c>
      <c r="G259" s="2">
        <f t="shared" ref="G259:G322" si="29">IF(F259&gt;0.5,1,0)</f>
        <v>1</v>
      </c>
      <c r="H259" s="2">
        <f>IF(G259=Training_Data!F259,1,0)</f>
        <v>0</v>
      </c>
    </row>
    <row r="260" spans="1:8" x14ac:dyDescent="0.2">
      <c r="A260" s="2">
        <f>$L$2+SUMPRODUCT($M$2:$Q$2,Training_Data!A260:E260)</f>
        <v>344.95</v>
      </c>
      <c r="B260" s="2">
        <f t="shared" si="24"/>
        <v>344.95</v>
      </c>
      <c r="C260" s="2">
        <f t="shared" si="25"/>
        <v>100</v>
      </c>
      <c r="D260" s="2">
        <f t="shared" si="26"/>
        <v>1</v>
      </c>
      <c r="E260" s="2">
        <f t="shared" si="27"/>
        <v>1</v>
      </c>
      <c r="F260" s="2">
        <f t="shared" si="28"/>
        <v>0.99</v>
      </c>
      <c r="G260" s="2">
        <f t="shared" si="29"/>
        <v>1</v>
      </c>
      <c r="H260" s="2">
        <f>IF(G260=Training_Data!F260,1,0)</f>
        <v>0</v>
      </c>
    </row>
    <row r="261" spans="1:8" x14ac:dyDescent="0.2">
      <c r="A261" s="2">
        <f>$L$2+SUMPRODUCT($M$2:$Q$2,Training_Data!A261:E261)</f>
        <v>292.60999999999996</v>
      </c>
      <c r="B261" s="2">
        <f t="shared" si="24"/>
        <v>292.60999999999996</v>
      </c>
      <c r="C261" s="2">
        <f t="shared" si="25"/>
        <v>100</v>
      </c>
      <c r="D261" s="2">
        <f t="shared" si="26"/>
        <v>1</v>
      </c>
      <c r="E261" s="2">
        <f t="shared" si="27"/>
        <v>1</v>
      </c>
      <c r="F261" s="2">
        <f t="shared" si="28"/>
        <v>0.99</v>
      </c>
      <c r="G261" s="2">
        <f t="shared" si="29"/>
        <v>1</v>
      </c>
      <c r="H261" s="2">
        <f>IF(G261=Training_Data!F261,1,0)</f>
        <v>1</v>
      </c>
    </row>
    <row r="262" spans="1:8" x14ac:dyDescent="0.2">
      <c r="A262" s="2">
        <f>$L$2+SUMPRODUCT($M$2:$Q$2,Training_Data!A262:E262)</f>
        <v>377.24099999999999</v>
      </c>
      <c r="B262" s="2">
        <f t="shared" si="24"/>
        <v>377.24099999999999</v>
      </c>
      <c r="C262" s="2">
        <f t="shared" si="25"/>
        <v>100</v>
      </c>
      <c r="D262" s="2">
        <f t="shared" si="26"/>
        <v>1</v>
      </c>
      <c r="E262" s="2">
        <f t="shared" si="27"/>
        <v>1</v>
      </c>
      <c r="F262" s="2">
        <f t="shared" si="28"/>
        <v>0.99</v>
      </c>
      <c r="G262" s="2">
        <f t="shared" si="29"/>
        <v>1</v>
      </c>
      <c r="H262" s="2">
        <f>IF(G262=Training_Data!F262,1,0)</f>
        <v>1</v>
      </c>
    </row>
    <row r="263" spans="1:8" x14ac:dyDescent="0.2">
      <c r="A263" s="2">
        <f>$L$2+SUMPRODUCT($M$2:$Q$2,Training_Data!A263:E263)</f>
        <v>347.35300000000001</v>
      </c>
      <c r="B263" s="2">
        <f t="shared" si="24"/>
        <v>347.35300000000001</v>
      </c>
      <c r="C263" s="2">
        <f t="shared" si="25"/>
        <v>100</v>
      </c>
      <c r="D263" s="2">
        <f t="shared" si="26"/>
        <v>1</v>
      </c>
      <c r="E263" s="2">
        <f t="shared" si="27"/>
        <v>1</v>
      </c>
      <c r="F263" s="2">
        <f t="shared" si="28"/>
        <v>0.99</v>
      </c>
      <c r="G263" s="2">
        <f t="shared" si="29"/>
        <v>1</v>
      </c>
      <c r="H263" s="2">
        <f>IF(G263=Training_Data!F263,1,0)</f>
        <v>0</v>
      </c>
    </row>
    <row r="264" spans="1:8" x14ac:dyDescent="0.2">
      <c r="A264" s="2">
        <f>$L$2+SUMPRODUCT($M$2:$Q$2,Training_Data!A264:E264)</f>
        <v>185.35</v>
      </c>
      <c r="B264" s="2">
        <f t="shared" si="24"/>
        <v>185.35</v>
      </c>
      <c r="C264" s="2">
        <f t="shared" si="25"/>
        <v>100</v>
      </c>
      <c r="D264" s="2">
        <f t="shared" si="26"/>
        <v>1</v>
      </c>
      <c r="E264" s="2">
        <f t="shared" si="27"/>
        <v>1</v>
      </c>
      <c r="F264" s="2">
        <f t="shared" si="28"/>
        <v>0.99</v>
      </c>
      <c r="G264" s="2">
        <f t="shared" si="29"/>
        <v>1</v>
      </c>
      <c r="H264" s="2">
        <f>IF(G264=Training_Data!F264,1,0)</f>
        <v>0</v>
      </c>
    </row>
    <row r="265" spans="1:8" x14ac:dyDescent="0.2">
      <c r="A265" s="2">
        <f>$L$2+SUMPRODUCT($M$2:$Q$2,Training_Data!A265:E265)</f>
        <v>200.77499999999998</v>
      </c>
      <c r="B265" s="2">
        <f t="shared" si="24"/>
        <v>200.77499999999998</v>
      </c>
      <c r="C265" s="2">
        <f t="shared" si="25"/>
        <v>100</v>
      </c>
      <c r="D265" s="2">
        <f t="shared" si="26"/>
        <v>1</v>
      </c>
      <c r="E265" s="2">
        <f t="shared" si="27"/>
        <v>1</v>
      </c>
      <c r="F265" s="2">
        <f t="shared" si="28"/>
        <v>0.99</v>
      </c>
      <c r="G265" s="2">
        <f t="shared" si="29"/>
        <v>1</v>
      </c>
      <c r="H265" s="2">
        <f>IF(G265=Training_Data!F265,1,0)</f>
        <v>0</v>
      </c>
    </row>
    <row r="266" spans="1:8" x14ac:dyDescent="0.2">
      <c r="A266" s="2">
        <f>$L$2+SUMPRODUCT($M$2:$Q$2,Training_Data!A266:E266)</f>
        <v>428.64699999999999</v>
      </c>
      <c r="B266" s="2">
        <f t="shared" si="24"/>
        <v>428.64699999999999</v>
      </c>
      <c r="C266" s="2">
        <f t="shared" si="25"/>
        <v>100</v>
      </c>
      <c r="D266" s="2">
        <f t="shared" si="26"/>
        <v>1</v>
      </c>
      <c r="E266" s="2">
        <f t="shared" si="27"/>
        <v>1</v>
      </c>
      <c r="F266" s="2">
        <f t="shared" si="28"/>
        <v>0.99</v>
      </c>
      <c r="G266" s="2">
        <f t="shared" si="29"/>
        <v>1</v>
      </c>
      <c r="H266" s="2">
        <f>IF(G266=Training_Data!F266,1,0)</f>
        <v>0</v>
      </c>
    </row>
    <row r="267" spans="1:8" x14ac:dyDescent="0.2">
      <c r="A267" s="2">
        <f>$L$2+SUMPRODUCT($M$2:$Q$2,Training_Data!A267:E267)</f>
        <v>157.512</v>
      </c>
      <c r="B267" s="2">
        <f t="shared" si="24"/>
        <v>157.512</v>
      </c>
      <c r="C267" s="2">
        <f t="shared" si="25"/>
        <v>100</v>
      </c>
      <c r="D267" s="2">
        <f t="shared" si="26"/>
        <v>1</v>
      </c>
      <c r="E267" s="2">
        <f t="shared" si="27"/>
        <v>1</v>
      </c>
      <c r="F267" s="2">
        <f t="shared" si="28"/>
        <v>0.99</v>
      </c>
      <c r="G267" s="2">
        <f t="shared" si="29"/>
        <v>1</v>
      </c>
      <c r="H267" s="2">
        <f>IF(G267=Training_Data!F267,1,0)</f>
        <v>0</v>
      </c>
    </row>
    <row r="268" spans="1:8" x14ac:dyDescent="0.2">
      <c r="A268" s="2">
        <f>$L$2+SUMPRODUCT($M$2:$Q$2,Training_Data!A268:E268)</f>
        <v>1652.6820000000002</v>
      </c>
      <c r="B268" s="2">
        <f t="shared" si="24"/>
        <v>1652.6820000000002</v>
      </c>
      <c r="C268" s="2">
        <f t="shared" si="25"/>
        <v>100</v>
      </c>
      <c r="D268" s="2">
        <f t="shared" si="26"/>
        <v>1</v>
      </c>
      <c r="E268" s="2">
        <f t="shared" si="27"/>
        <v>1</v>
      </c>
      <c r="F268" s="2">
        <f t="shared" si="28"/>
        <v>0.99</v>
      </c>
      <c r="G268" s="2">
        <f t="shared" si="29"/>
        <v>1</v>
      </c>
      <c r="H268" s="2">
        <f>IF(G268=Training_Data!F268,1,0)</f>
        <v>0</v>
      </c>
    </row>
    <row r="269" spans="1:8" x14ac:dyDescent="0.2">
      <c r="A269" s="2">
        <f>$L$2+SUMPRODUCT($M$2:$Q$2,Training_Data!A269:E269)</f>
        <v>452.64400000000001</v>
      </c>
      <c r="B269" s="2">
        <f t="shared" si="24"/>
        <v>452.64400000000001</v>
      </c>
      <c r="C269" s="2">
        <f t="shared" si="25"/>
        <v>100</v>
      </c>
      <c r="D269" s="2">
        <f t="shared" si="26"/>
        <v>1</v>
      </c>
      <c r="E269" s="2">
        <f t="shared" si="27"/>
        <v>1</v>
      </c>
      <c r="F269" s="2">
        <f t="shared" si="28"/>
        <v>0.99</v>
      </c>
      <c r="G269" s="2">
        <f t="shared" si="29"/>
        <v>1</v>
      </c>
      <c r="H269" s="2">
        <f>IF(G269=Training_Data!F269,1,0)</f>
        <v>0</v>
      </c>
    </row>
    <row r="270" spans="1:8" x14ac:dyDescent="0.2">
      <c r="A270" s="2">
        <f>$L$2+SUMPRODUCT($M$2:$Q$2,Training_Data!A270:E270)</f>
        <v>252.065</v>
      </c>
      <c r="B270" s="2">
        <f t="shared" si="24"/>
        <v>252.065</v>
      </c>
      <c r="C270" s="2">
        <f t="shared" si="25"/>
        <v>100</v>
      </c>
      <c r="D270" s="2">
        <f t="shared" si="26"/>
        <v>1</v>
      </c>
      <c r="E270" s="2">
        <f t="shared" si="27"/>
        <v>1</v>
      </c>
      <c r="F270" s="2">
        <f t="shared" si="28"/>
        <v>0.99</v>
      </c>
      <c r="G270" s="2">
        <f t="shared" si="29"/>
        <v>1</v>
      </c>
      <c r="H270" s="2">
        <f>IF(G270=Training_Data!F270,1,0)</f>
        <v>0</v>
      </c>
    </row>
    <row r="271" spans="1:8" x14ac:dyDescent="0.2">
      <c r="A271" s="2">
        <f>$L$2+SUMPRODUCT($M$2:$Q$2,Training_Data!A271:E271)</f>
        <v>1004.8220000000001</v>
      </c>
      <c r="B271" s="2">
        <f t="shared" si="24"/>
        <v>1004.8220000000001</v>
      </c>
      <c r="C271" s="2">
        <f t="shared" si="25"/>
        <v>100</v>
      </c>
      <c r="D271" s="2">
        <f t="shared" si="26"/>
        <v>1</v>
      </c>
      <c r="E271" s="2">
        <f t="shared" si="27"/>
        <v>1</v>
      </c>
      <c r="F271" s="2">
        <f t="shared" si="28"/>
        <v>0.99</v>
      </c>
      <c r="G271" s="2">
        <f t="shared" si="29"/>
        <v>1</v>
      </c>
      <c r="H271" s="2">
        <f>IF(G271=Training_Data!F271,1,0)</f>
        <v>0</v>
      </c>
    </row>
    <row r="272" spans="1:8" x14ac:dyDescent="0.2">
      <c r="A272" s="2">
        <f>$L$2+SUMPRODUCT($M$2:$Q$2,Training_Data!A272:E272)</f>
        <v>299.88399999999996</v>
      </c>
      <c r="B272" s="2">
        <f t="shared" si="24"/>
        <v>299.88399999999996</v>
      </c>
      <c r="C272" s="2">
        <f t="shared" si="25"/>
        <v>100</v>
      </c>
      <c r="D272" s="2">
        <f t="shared" si="26"/>
        <v>1</v>
      </c>
      <c r="E272" s="2">
        <f t="shared" si="27"/>
        <v>1</v>
      </c>
      <c r="F272" s="2">
        <f t="shared" si="28"/>
        <v>0.99</v>
      </c>
      <c r="G272" s="2">
        <f t="shared" si="29"/>
        <v>1</v>
      </c>
      <c r="H272" s="2">
        <f>IF(G272=Training_Data!F272,1,0)</f>
        <v>0</v>
      </c>
    </row>
    <row r="273" spans="1:8" x14ac:dyDescent="0.2">
      <c r="A273" s="2">
        <f>$L$2+SUMPRODUCT($M$2:$Q$2,Training_Data!A273:E273)</f>
        <v>103.059</v>
      </c>
      <c r="B273" s="2">
        <f t="shared" si="24"/>
        <v>103.059</v>
      </c>
      <c r="C273" s="2">
        <f t="shared" si="25"/>
        <v>100</v>
      </c>
      <c r="D273" s="2">
        <f t="shared" si="26"/>
        <v>1</v>
      </c>
      <c r="E273" s="2">
        <f t="shared" si="27"/>
        <v>1</v>
      </c>
      <c r="F273" s="2">
        <f t="shared" si="28"/>
        <v>0.99</v>
      </c>
      <c r="G273" s="2">
        <f t="shared" si="29"/>
        <v>1</v>
      </c>
      <c r="H273" s="2">
        <f>IF(G273=Training_Data!F273,1,0)</f>
        <v>0</v>
      </c>
    </row>
    <row r="274" spans="1:8" x14ac:dyDescent="0.2">
      <c r="A274" s="2">
        <f>$L$2+SUMPRODUCT($M$2:$Q$2,Training_Data!A274:E274)</f>
        <v>447.05</v>
      </c>
      <c r="B274" s="2">
        <f t="shared" si="24"/>
        <v>447.05</v>
      </c>
      <c r="C274" s="2">
        <f t="shared" si="25"/>
        <v>100</v>
      </c>
      <c r="D274" s="2">
        <f t="shared" si="26"/>
        <v>1</v>
      </c>
      <c r="E274" s="2">
        <f t="shared" si="27"/>
        <v>1</v>
      </c>
      <c r="F274" s="2">
        <f t="shared" si="28"/>
        <v>0.99</v>
      </c>
      <c r="G274" s="2">
        <f t="shared" si="29"/>
        <v>1</v>
      </c>
      <c r="H274" s="2">
        <f>IF(G274=Training_Data!F274,1,0)</f>
        <v>0</v>
      </c>
    </row>
    <row r="275" spans="1:8" x14ac:dyDescent="0.2">
      <c r="A275" s="2">
        <f>$L$2+SUMPRODUCT($M$2:$Q$2,Training_Data!A275:E275)</f>
        <v>17778.175000000003</v>
      </c>
      <c r="B275" s="2">
        <f t="shared" si="24"/>
        <v>17778.175000000003</v>
      </c>
      <c r="C275" s="2">
        <f t="shared" si="25"/>
        <v>100</v>
      </c>
      <c r="D275" s="2">
        <f t="shared" si="26"/>
        <v>1</v>
      </c>
      <c r="E275" s="2">
        <f t="shared" si="27"/>
        <v>1</v>
      </c>
      <c r="F275" s="2">
        <f t="shared" si="28"/>
        <v>0.99</v>
      </c>
      <c r="G275" s="2">
        <f t="shared" si="29"/>
        <v>1</v>
      </c>
      <c r="H275" s="2">
        <f>IF(G275=Training_Data!F275,1,0)</f>
        <v>0</v>
      </c>
    </row>
    <row r="276" spans="1:8" x14ac:dyDescent="0.2">
      <c r="A276" s="2">
        <f>$L$2+SUMPRODUCT($M$2:$Q$2,Training_Data!A276:E276)</f>
        <v>170.37499999999997</v>
      </c>
      <c r="B276" s="2">
        <f t="shared" si="24"/>
        <v>170.37499999999997</v>
      </c>
      <c r="C276" s="2">
        <f t="shared" si="25"/>
        <v>100</v>
      </c>
      <c r="D276" s="2">
        <f t="shared" si="26"/>
        <v>1</v>
      </c>
      <c r="E276" s="2">
        <f t="shared" si="27"/>
        <v>1</v>
      </c>
      <c r="F276" s="2">
        <f t="shared" si="28"/>
        <v>0.99</v>
      </c>
      <c r="G276" s="2">
        <f t="shared" si="29"/>
        <v>1</v>
      </c>
      <c r="H276" s="2">
        <f>IF(G276=Training_Data!F276,1,0)</f>
        <v>0</v>
      </c>
    </row>
    <row r="277" spans="1:8" x14ac:dyDescent="0.2">
      <c r="A277" s="2">
        <f>$L$2+SUMPRODUCT($M$2:$Q$2,Training_Data!A277:E277)</f>
        <v>9391.5480000000007</v>
      </c>
      <c r="B277" s="2">
        <f t="shared" si="24"/>
        <v>9391.5480000000007</v>
      </c>
      <c r="C277" s="2">
        <f t="shared" si="25"/>
        <v>100</v>
      </c>
      <c r="D277" s="2">
        <f t="shared" si="26"/>
        <v>1</v>
      </c>
      <c r="E277" s="2">
        <f t="shared" si="27"/>
        <v>1</v>
      </c>
      <c r="F277" s="2">
        <f t="shared" si="28"/>
        <v>0.99</v>
      </c>
      <c r="G277" s="2">
        <f t="shared" si="29"/>
        <v>1</v>
      </c>
      <c r="H277" s="2">
        <f>IF(G277=Training_Data!F277,1,0)</f>
        <v>0</v>
      </c>
    </row>
    <row r="278" spans="1:8" x14ac:dyDescent="0.2">
      <c r="A278" s="2">
        <f>$L$2+SUMPRODUCT($M$2:$Q$2,Training_Data!A278:E278)</f>
        <v>252.16299999999998</v>
      </c>
      <c r="B278" s="2">
        <f t="shared" si="24"/>
        <v>252.16299999999998</v>
      </c>
      <c r="C278" s="2">
        <f t="shared" si="25"/>
        <v>100</v>
      </c>
      <c r="D278" s="2">
        <f t="shared" si="26"/>
        <v>1</v>
      </c>
      <c r="E278" s="2">
        <f t="shared" si="27"/>
        <v>1</v>
      </c>
      <c r="F278" s="2">
        <f t="shared" si="28"/>
        <v>0.99</v>
      </c>
      <c r="G278" s="2">
        <f t="shared" si="29"/>
        <v>1</v>
      </c>
      <c r="H278" s="2">
        <f>IF(G278=Training_Data!F278,1,0)</f>
        <v>0</v>
      </c>
    </row>
    <row r="279" spans="1:8" x14ac:dyDescent="0.2">
      <c r="A279" s="2">
        <f>$L$2+SUMPRODUCT($M$2:$Q$2,Training_Data!A279:E279)</f>
        <v>196.97499999999999</v>
      </c>
      <c r="B279" s="2">
        <f t="shared" si="24"/>
        <v>196.97499999999999</v>
      </c>
      <c r="C279" s="2">
        <f t="shared" si="25"/>
        <v>100</v>
      </c>
      <c r="D279" s="2">
        <f t="shared" si="26"/>
        <v>1</v>
      </c>
      <c r="E279" s="2">
        <f t="shared" si="27"/>
        <v>1</v>
      </c>
      <c r="F279" s="2">
        <f t="shared" si="28"/>
        <v>0.99</v>
      </c>
      <c r="G279" s="2">
        <f t="shared" si="29"/>
        <v>1</v>
      </c>
      <c r="H279" s="2">
        <f>IF(G279=Training_Data!F279,1,0)</f>
        <v>0</v>
      </c>
    </row>
    <row r="280" spans="1:8" x14ac:dyDescent="0.2">
      <c r="A280" s="2">
        <f>$L$2+SUMPRODUCT($M$2:$Q$2,Training_Data!A280:E280)</f>
        <v>402.55</v>
      </c>
      <c r="B280" s="2">
        <f t="shared" si="24"/>
        <v>402.55</v>
      </c>
      <c r="C280" s="2">
        <f t="shared" si="25"/>
        <v>100</v>
      </c>
      <c r="D280" s="2">
        <f t="shared" si="26"/>
        <v>1</v>
      </c>
      <c r="E280" s="2">
        <f t="shared" si="27"/>
        <v>1</v>
      </c>
      <c r="F280" s="2">
        <f t="shared" si="28"/>
        <v>0.99</v>
      </c>
      <c r="G280" s="2">
        <f t="shared" si="29"/>
        <v>1</v>
      </c>
      <c r="H280" s="2">
        <f>IF(G280=Training_Data!F280,1,0)</f>
        <v>0</v>
      </c>
    </row>
    <row r="281" spans="1:8" x14ac:dyDescent="0.2">
      <c r="A281" s="2">
        <f>$L$2+SUMPRODUCT($M$2:$Q$2,Training_Data!A281:E281)</f>
        <v>171.27499999999998</v>
      </c>
      <c r="B281" s="2">
        <f t="shared" si="24"/>
        <v>171.27499999999998</v>
      </c>
      <c r="C281" s="2">
        <f t="shared" si="25"/>
        <v>100</v>
      </c>
      <c r="D281" s="2">
        <f t="shared" si="26"/>
        <v>1</v>
      </c>
      <c r="E281" s="2">
        <f t="shared" si="27"/>
        <v>1</v>
      </c>
      <c r="F281" s="2">
        <f t="shared" si="28"/>
        <v>0.99</v>
      </c>
      <c r="G281" s="2">
        <f t="shared" si="29"/>
        <v>1</v>
      </c>
      <c r="H281" s="2">
        <f>IF(G281=Training_Data!F281,1,0)</f>
        <v>0</v>
      </c>
    </row>
    <row r="282" spans="1:8" x14ac:dyDescent="0.2">
      <c r="A282" s="2">
        <f>$L$2+SUMPRODUCT($M$2:$Q$2,Training_Data!A282:E282)</f>
        <v>1757.7070000000001</v>
      </c>
      <c r="B282" s="2">
        <f t="shared" si="24"/>
        <v>1757.7070000000001</v>
      </c>
      <c r="C282" s="2">
        <f t="shared" si="25"/>
        <v>100</v>
      </c>
      <c r="D282" s="2">
        <f t="shared" si="26"/>
        <v>1</v>
      </c>
      <c r="E282" s="2">
        <f t="shared" si="27"/>
        <v>1</v>
      </c>
      <c r="F282" s="2">
        <f t="shared" si="28"/>
        <v>0.99</v>
      </c>
      <c r="G282" s="2">
        <f t="shared" si="29"/>
        <v>1</v>
      </c>
      <c r="H282" s="2">
        <f>IF(G282=Training_Data!F282,1,0)</f>
        <v>0</v>
      </c>
    </row>
    <row r="283" spans="1:8" x14ac:dyDescent="0.2">
      <c r="A283" s="2">
        <f>$L$2+SUMPRODUCT($M$2:$Q$2,Training_Data!A283:E283)</f>
        <v>267.26299999999998</v>
      </c>
      <c r="B283" s="2">
        <f t="shared" si="24"/>
        <v>267.26299999999998</v>
      </c>
      <c r="C283" s="2">
        <f t="shared" si="25"/>
        <v>100</v>
      </c>
      <c r="D283" s="2">
        <f t="shared" si="26"/>
        <v>1</v>
      </c>
      <c r="E283" s="2">
        <f t="shared" si="27"/>
        <v>1</v>
      </c>
      <c r="F283" s="2">
        <f t="shared" si="28"/>
        <v>0.99</v>
      </c>
      <c r="G283" s="2">
        <f t="shared" si="29"/>
        <v>1</v>
      </c>
      <c r="H283" s="2">
        <f>IF(G283=Training_Data!F283,1,0)</f>
        <v>0</v>
      </c>
    </row>
    <row r="284" spans="1:8" x14ac:dyDescent="0.2">
      <c r="A284" s="2">
        <f>$L$2+SUMPRODUCT($M$2:$Q$2,Training_Data!A284:E284)</f>
        <v>602.16500000000008</v>
      </c>
      <c r="B284" s="2">
        <f t="shared" si="24"/>
        <v>602.16500000000008</v>
      </c>
      <c r="C284" s="2">
        <f t="shared" si="25"/>
        <v>100</v>
      </c>
      <c r="D284" s="2">
        <f t="shared" si="26"/>
        <v>1</v>
      </c>
      <c r="E284" s="2">
        <f t="shared" si="27"/>
        <v>1</v>
      </c>
      <c r="F284" s="2">
        <f t="shared" si="28"/>
        <v>0.99</v>
      </c>
      <c r="G284" s="2">
        <f t="shared" si="29"/>
        <v>1</v>
      </c>
      <c r="H284" s="2">
        <f>IF(G284=Training_Data!F284,1,0)</f>
        <v>0</v>
      </c>
    </row>
    <row r="285" spans="1:8" x14ac:dyDescent="0.2">
      <c r="A285" s="2">
        <f>$L$2+SUMPRODUCT($M$2:$Q$2,Training_Data!A285:E285)</f>
        <v>261.11899999999997</v>
      </c>
      <c r="B285" s="2">
        <f t="shared" si="24"/>
        <v>261.11899999999997</v>
      </c>
      <c r="C285" s="2">
        <f t="shared" si="25"/>
        <v>100</v>
      </c>
      <c r="D285" s="2">
        <f t="shared" si="26"/>
        <v>1</v>
      </c>
      <c r="E285" s="2">
        <f t="shared" si="27"/>
        <v>1</v>
      </c>
      <c r="F285" s="2">
        <f t="shared" si="28"/>
        <v>0.99</v>
      </c>
      <c r="G285" s="2">
        <f t="shared" si="29"/>
        <v>1</v>
      </c>
      <c r="H285" s="2">
        <f>IF(G285=Training_Data!F285,1,0)</f>
        <v>0</v>
      </c>
    </row>
    <row r="286" spans="1:8" x14ac:dyDescent="0.2">
      <c r="A286" s="2">
        <f>$L$2+SUMPRODUCT($M$2:$Q$2,Training_Data!A286:E286)</f>
        <v>79.647000000000006</v>
      </c>
      <c r="B286" s="2">
        <f t="shared" si="24"/>
        <v>79.647000000000006</v>
      </c>
      <c r="C286" s="2">
        <f t="shared" si="25"/>
        <v>79.647000000000006</v>
      </c>
      <c r="D286" s="2">
        <f t="shared" si="26"/>
        <v>1</v>
      </c>
      <c r="E286" s="2">
        <f t="shared" si="27"/>
        <v>1</v>
      </c>
      <c r="F286" s="2">
        <f t="shared" si="28"/>
        <v>0.99</v>
      </c>
      <c r="G286" s="2">
        <f t="shared" si="29"/>
        <v>1</v>
      </c>
      <c r="H286" s="2">
        <f>IF(G286=Training_Data!F286,1,0)</f>
        <v>0</v>
      </c>
    </row>
    <row r="287" spans="1:8" x14ac:dyDescent="0.2">
      <c r="A287" s="2">
        <f>$L$2+SUMPRODUCT($M$2:$Q$2,Training_Data!A287:E287)</f>
        <v>919.72200000000009</v>
      </c>
      <c r="B287" s="2">
        <f t="shared" si="24"/>
        <v>919.72200000000009</v>
      </c>
      <c r="C287" s="2">
        <f t="shared" si="25"/>
        <v>100</v>
      </c>
      <c r="D287" s="2">
        <f t="shared" si="26"/>
        <v>1</v>
      </c>
      <c r="E287" s="2">
        <f t="shared" si="27"/>
        <v>1</v>
      </c>
      <c r="F287" s="2">
        <f t="shared" si="28"/>
        <v>0.99</v>
      </c>
      <c r="G287" s="2">
        <f t="shared" si="29"/>
        <v>1</v>
      </c>
      <c r="H287" s="2">
        <f>IF(G287=Training_Data!F287,1,0)</f>
        <v>0</v>
      </c>
    </row>
    <row r="288" spans="1:8" x14ac:dyDescent="0.2">
      <c r="A288" s="2">
        <f>$L$2+SUMPRODUCT($M$2:$Q$2,Training_Data!A288:E288)</f>
        <v>168.45</v>
      </c>
      <c r="B288" s="2">
        <f t="shared" si="24"/>
        <v>168.45</v>
      </c>
      <c r="C288" s="2">
        <f t="shared" si="25"/>
        <v>100</v>
      </c>
      <c r="D288" s="2">
        <f t="shared" si="26"/>
        <v>1</v>
      </c>
      <c r="E288" s="2">
        <f t="shared" si="27"/>
        <v>1</v>
      </c>
      <c r="F288" s="2">
        <f t="shared" si="28"/>
        <v>0.99</v>
      </c>
      <c r="G288" s="2">
        <f t="shared" si="29"/>
        <v>1</v>
      </c>
      <c r="H288" s="2">
        <f>IF(G288=Training_Data!F288,1,0)</f>
        <v>0</v>
      </c>
    </row>
    <row r="289" spans="1:8" x14ac:dyDescent="0.2">
      <c r="A289" s="2">
        <f>$L$2+SUMPRODUCT($M$2:$Q$2,Training_Data!A289:E289)</f>
        <v>805.02500000000009</v>
      </c>
      <c r="B289" s="2">
        <f t="shared" si="24"/>
        <v>805.02500000000009</v>
      </c>
      <c r="C289" s="2">
        <f t="shared" si="25"/>
        <v>100</v>
      </c>
      <c r="D289" s="2">
        <f t="shared" si="26"/>
        <v>1</v>
      </c>
      <c r="E289" s="2">
        <f t="shared" si="27"/>
        <v>1</v>
      </c>
      <c r="F289" s="2">
        <f t="shared" si="28"/>
        <v>0.99</v>
      </c>
      <c r="G289" s="2">
        <f t="shared" si="29"/>
        <v>1</v>
      </c>
      <c r="H289" s="2">
        <f>IF(G289=Training_Data!F289,1,0)</f>
        <v>0</v>
      </c>
    </row>
    <row r="290" spans="1:8" x14ac:dyDescent="0.2">
      <c r="A290" s="2">
        <f>$L$2+SUMPRODUCT($M$2:$Q$2,Training_Data!A290:E290)</f>
        <v>0.97799999999999887</v>
      </c>
      <c r="B290" s="2">
        <f t="shared" si="24"/>
        <v>0.97799999999999887</v>
      </c>
      <c r="C290" s="2">
        <f t="shared" si="25"/>
        <v>0.97799999999999887</v>
      </c>
      <c r="D290" s="2">
        <f t="shared" si="26"/>
        <v>0.7267111924225419</v>
      </c>
      <c r="E290" s="2">
        <f t="shared" si="27"/>
        <v>0.7267111924225419</v>
      </c>
      <c r="F290" s="2">
        <f t="shared" si="28"/>
        <v>0.7267111924225419</v>
      </c>
      <c r="G290" s="2">
        <f t="shared" si="29"/>
        <v>1</v>
      </c>
      <c r="H290" s="2">
        <f>IF(G290=Training_Data!F290,1,0)</f>
        <v>0</v>
      </c>
    </row>
    <row r="291" spans="1:8" x14ac:dyDescent="0.2">
      <c r="A291" s="2">
        <f>$L$2+SUMPRODUCT($M$2:$Q$2,Training_Data!A291:E291)</f>
        <v>353.08799999999997</v>
      </c>
      <c r="B291" s="2">
        <f t="shared" si="24"/>
        <v>353.08799999999997</v>
      </c>
      <c r="C291" s="2">
        <f t="shared" si="25"/>
        <v>100</v>
      </c>
      <c r="D291" s="2">
        <f t="shared" si="26"/>
        <v>1</v>
      </c>
      <c r="E291" s="2">
        <f t="shared" si="27"/>
        <v>1</v>
      </c>
      <c r="F291" s="2">
        <f t="shared" si="28"/>
        <v>0.99</v>
      </c>
      <c r="G291" s="2">
        <f t="shared" si="29"/>
        <v>1</v>
      </c>
      <c r="H291" s="2">
        <f>IF(G291=Training_Data!F291,1,0)</f>
        <v>0</v>
      </c>
    </row>
    <row r="292" spans="1:8" x14ac:dyDescent="0.2">
      <c r="A292" s="2">
        <f>$L$2+SUMPRODUCT($M$2:$Q$2,Training_Data!A292:E292)</f>
        <v>350.72199999999998</v>
      </c>
      <c r="B292" s="2">
        <f t="shared" si="24"/>
        <v>350.72199999999998</v>
      </c>
      <c r="C292" s="2">
        <f t="shared" si="25"/>
        <v>100</v>
      </c>
      <c r="D292" s="2">
        <f t="shared" si="26"/>
        <v>1</v>
      </c>
      <c r="E292" s="2">
        <f t="shared" si="27"/>
        <v>1</v>
      </c>
      <c r="F292" s="2">
        <f t="shared" si="28"/>
        <v>0.99</v>
      </c>
      <c r="G292" s="2">
        <f t="shared" si="29"/>
        <v>1</v>
      </c>
      <c r="H292" s="2">
        <f>IF(G292=Training_Data!F292,1,0)</f>
        <v>0</v>
      </c>
    </row>
    <row r="293" spans="1:8" x14ac:dyDescent="0.2">
      <c r="A293" s="2">
        <f>$L$2+SUMPRODUCT($M$2:$Q$2,Training_Data!A293:E293)</f>
        <v>152.85</v>
      </c>
      <c r="B293" s="2">
        <f t="shared" si="24"/>
        <v>152.85</v>
      </c>
      <c r="C293" s="2">
        <f t="shared" si="25"/>
        <v>100</v>
      </c>
      <c r="D293" s="2">
        <f t="shared" si="26"/>
        <v>1</v>
      </c>
      <c r="E293" s="2">
        <f t="shared" si="27"/>
        <v>1</v>
      </c>
      <c r="F293" s="2">
        <f t="shared" si="28"/>
        <v>0.99</v>
      </c>
      <c r="G293" s="2">
        <f t="shared" si="29"/>
        <v>1</v>
      </c>
      <c r="H293" s="2">
        <f>IF(G293=Training_Data!F293,1,0)</f>
        <v>0</v>
      </c>
    </row>
    <row r="294" spans="1:8" x14ac:dyDescent="0.2">
      <c r="A294" s="2">
        <f>$L$2+SUMPRODUCT($M$2:$Q$2,Training_Data!A294:E294)</f>
        <v>382.38799999999998</v>
      </c>
      <c r="B294" s="2">
        <f t="shared" si="24"/>
        <v>382.38799999999998</v>
      </c>
      <c r="C294" s="2">
        <f t="shared" si="25"/>
        <v>100</v>
      </c>
      <c r="D294" s="2">
        <f t="shared" si="26"/>
        <v>1</v>
      </c>
      <c r="E294" s="2">
        <f t="shared" si="27"/>
        <v>1</v>
      </c>
      <c r="F294" s="2">
        <f t="shared" si="28"/>
        <v>0.99</v>
      </c>
      <c r="G294" s="2">
        <f t="shared" si="29"/>
        <v>1</v>
      </c>
      <c r="H294" s="2">
        <f>IF(G294=Training_Data!F294,1,0)</f>
        <v>0</v>
      </c>
    </row>
    <row r="295" spans="1:8" x14ac:dyDescent="0.2">
      <c r="A295" s="2">
        <f>$L$2+SUMPRODUCT($M$2:$Q$2,Training_Data!A295:E295)</f>
        <v>18.762000000000004</v>
      </c>
      <c r="B295" s="2">
        <f t="shared" si="24"/>
        <v>18.762000000000004</v>
      </c>
      <c r="C295" s="2">
        <f t="shared" si="25"/>
        <v>18.762000000000004</v>
      </c>
      <c r="D295" s="2">
        <f t="shared" si="26"/>
        <v>0.99999999289168073</v>
      </c>
      <c r="E295" s="2">
        <f t="shared" si="27"/>
        <v>0.99999999289168073</v>
      </c>
      <c r="F295" s="2">
        <f t="shared" si="28"/>
        <v>0.99</v>
      </c>
      <c r="G295" s="2">
        <f t="shared" si="29"/>
        <v>1</v>
      </c>
      <c r="H295" s="2">
        <f>IF(G295=Training_Data!F295,1,0)</f>
        <v>0</v>
      </c>
    </row>
    <row r="296" spans="1:8" x14ac:dyDescent="0.2">
      <c r="A296" s="2">
        <f>$L$2+SUMPRODUCT($M$2:$Q$2,Training_Data!A296:E296)</f>
        <v>285.7</v>
      </c>
      <c r="B296" s="2">
        <f t="shared" si="24"/>
        <v>285.7</v>
      </c>
      <c r="C296" s="2">
        <f t="shared" si="25"/>
        <v>100</v>
      </c>
      <c r="D296" s="2">
        <f t="shared" si="26"/>
        <v>1</v>
      </c>
      <c r="E296" s="2">
        <f t="shared" si="27"/>
        <v>1</v>
      </c>
      <c r="F296" s="2">
        <f t="shared" si="28"/>
        <v>0.99</v>
      </c>
      <c r="G296" s="2">
        <f t="shared" si="29"/>
        <v>1</v>
      </c>
      <c r="H296" s="2">
        <f>IF(G296=Training_Data!F296,1,0)</f>
        <v>0</v>
      </c>
    </row>
    <row r="297" spans="1:8" x14ac:dyDescent="0.2">
      <c r="A297" s="2">
        <f>$L$2+SUMPRODUCT($M$2:$Q$2,Training_Data!A297:E297)</f>
        <v>115.36300000000001</v>
      </c>
      <c r="B297" s="2">
        <f t="shared" si="24"/>
        <v>115.36300000000001</v>
      </c>
      <c r="C297" s="2">
        <f t="shared" si="25"/>
        <v>100</v>
      </c>
      <c r="D297" s="2">
        <f t="shared" si="26"/>
        <v>1</v>
      </c>
      <c r="E297" s="2">
        <f t="shared" si="27"/>
        <v>1</v>
      </c>
      <c r="F297" s="2">
        <f t="shared" si="28"/>
        <v>0.99</v>
      </c>
      <c r="G297" s="2">
        <f t="shared" si="29"/>
        <v>1</v>
      </c>
      <c r="H297" s="2">
        <f>IF(G297=Training_Data!F297,1,0)</f>
        <v>0</v>
      </c>
    </row>
    <row r="298" spans="1:8" x14ac:dyDescent="0.2">
      <c r="A298" s="2">
        <f>$L$2+SUMPRODUCT($M$2:$Q$2,Training_Data!A298:E298)</f>
        <v>165.01299999999998</v>
      </c>
      <c r="B298" s="2">
        <f t="shared" si="24"/>
        <v>165.01299999999998</v>
      </c>
      <c r="C298" s="2">
        <f t="shared" si="25"/>
        <v>100</v>
      </c>
      <c r="D298" s="2">
        <f t="shared" si="26"/>
        <v>1</v>
      </c>
      <c r="E298" s="2">
        <f t="shared" si="27"/>
        <v>1</v>
      </c>
      <c r="F298" s="2">
        <f t="shared" si="28"/>
        <v>0.99</v>
      </c>
      <c r="G298" s="2">
        <f t="shared" si="29"/>
        <v>1</v>
      </c>
      <c r="H298" s="2">
        <f>IF(G298=Training_Data!F298,1,0)</f>
        <v>0</v>
      </c>
    </row>
    <row r="299" spans="1:8" x14ac:dyDescent="0.2">
      <c r="A299" s="2">
        <f>$L$2+SUMPRODUCT($M$2:$Q$2,Training_Data!A299:E299)</f>
        <v>254.72499999999999</v>
      </c>
      <c r="B299" s="2">
        <f t="shared" si="24"/>
        <v>254.72499999999999</v>
      </c>
      <c r="C299" s="2">
        <f t="shared" si="25"/>
        <v>100</v>
      </c>
      <c r="D299" s="2">
        <f t="shared" si="26"/>
        <v>1</v>
      </c>
      <c r="E299" s="2">
        <f t="shared" si="27"/>
        <v>1</v>
      </c>
      <c r="F299" s="2">
        <f t="shared" si="28"/>
        <v>0.99</v>
      </c>
      <c r="G299" s="2">
        <f t="shared" si="29"/>
        <v>1</v>
      </c>
      <c r="H299" s="2">
        <f>IF(G299=Training_Data!F299,1,0)</f>
        <v>0</v>
      </c>
    </row>
    <row r="300" spans="1:8" x14ac:dyDescent="0.2">
      <c r="A300" s="2">
        <f>$L$2+SUMPRODUCT($M$2:$Q$2,Training_Data!A300:E300)</f>
        <v>481.25299999999999</v>
      </c>
      <c r="B300" s="2">
        <f t="shared" si="24"/>
        <v>481.25299999999999</v>
      </c>
      <c r="C300" s="2">
        <f t="shared" si="25"/>
        <v>100</v>
      </c>
      <c r="D300" s="2">
        <f t="shared" si="26"/>
        <v>1</v>
      </c>
      <c r="E300" s="2">
        <f t="shared" si="27"/>
        <v>1</v>
      </c>
      <c r="F300" s="2">
        <f t="shared" si="28"/>
        <v>0.99</v>
      </c>
      <c r="G300" s="2">
        <f t="shared" si="29"/>
        <v>1</v>
      </c>
      <c r="H300" s="2">
        <f>IF(G300=Training_Data!F300,1,0)</f>
        <v>0</v>
      </c>
    </row>
    <row r="301" spans="1:8" x14ac:dyDescent="0.2">
      <c r="A301" s="2">
        <f>$L$2+SUMPRODUCT($M$2:$Q$2,Training_Data!A301:E301)</f>
        <v>160.45299999999997</v>
      </c>
      <c r="B301" s="2">
        <f t="shared" si="24"/>
        <v>160.45299999999997</v>
      </c>
      <c r="C301" s="2">
        <f t="shared" si="25"/>
        <v>100</v>
      </c>
      <c r="D301" s="2">
        <f t="shared" si="26"/>
        <v>1</v>
      </c>
      <c r="E301" s="2">
        <f t="shared" si="27"/>
        <v>1</v>
      </c>
      <c r="F301" s="2">
        <f t="shared" si="28"/>
        <v>0.99</v>
      </c>
      <c r="G301" s="2">
        <f t="shared" si="29"/>
        <v>1</v>
      </c>
      <c r="H301" s="2">
        <f>IF(G301=Training_Data!F301,1,0)</f>
        <v>0</v>
      </c>
    </row>
    <row r="302" spans="1:8" x14ac:dyDescent="0.2">
      <c r="A302" s="2">
        <f>$L$2+SUMPRODUCT($M$2:$Q$2,Training_Data!A302:E302)</f>
        <v>253.89</v>
      </c>
      <c r="B302" s="2">
        <f t="shared" si="24"/>
        <v>253.89</v>
      </c>
      <c r="C302" s="2">
        <f t="shared" si="25"/>
        <v>100</v>
      </c>
      <c r="D302" s="2">
        <f t="shared" si="26"/>
        <v>1</v>
      </c>
      <c r="E302" s="2">
        <f t="shared" si="27"/>
        <v>1</v>
      </c>
      <c r="F302" s="2">
        <f t="shared" si="28"/>
        <v>0.99</v>
      </c>
      <c r="G302" s="2">
        <f t="shared" si="29"/>
        <v>1</v>
      </c>
      <c r="H302" s="2">
        <f>IF(G302=Training_Data!F302,1,0)</f>
        <v>0</v>
      </c>
    </row>
    <row r="303" spans="1:8" x14ac:dyDescent="0.2">
      <c r="A303" s="2">
        <f>$L$2+SUMPRODUCT($M$2:$Q$2,Training_Data!A303:E303)</f>
        <v>249.125</v>
      </c>
      <c r="B303" s="2">
        <f t="shared" si="24"/>
        <v>249.125</v>
      </c>
      <c r="C303" s="2">
        <f t="shared" si="25"/>
        <v>100</v>
      </c>
      <c r="D303" s="2">
        <f t="shared" si="26"/>
        <v>1</v>
      </c>
      <c r="E303" s="2">
        <f t="shared" si="27"/>
        <v>1</v>
      </c>
      <c r="F303" s="2">
        <f t="shared" si="28"/>
        <v>0.99</v>
      </c>
      <c r="G303" s="2">
        <f t="shared" si="29"/>
        <v>1</v>
      </c>
      <c r="H303" s="2">
        <f>IF(G303=Training_Data!F303,1,0)</f>
        <v>0</v>
      </c>
    </row>
    <row r="304" spans="1:8" x14ac:dyDescent="0.2">
      <c r="A304" s="2">
        <f>$L$2+SUMPRODUCT($M$2:$Q$2,Training_Data!A304:E304)</f>
        <v>68.525000000000006</v>
      </c>
      <c r="B304" s="2">
        <f t="shared" si="24"/>
        <v>68.525000000000006</v>
      </c>
      <c r="C304" s="2">
        <f t="shared" si="25"/>
        <v>68.525000000000006</v>
      </c>
      <c r="D304" s="2">
        <f t="shared" si="26"/>
        <v>1</v>
      </c>
      <c r="E304" s="2">
        <f t="shared" si="27"/>
        <v>1</v>
      </c>
      <c r="F304" s="2">
        <f t="shared" si="28"/>
        <v>0.99</v>
      </c>
      <c r="G304" s="2">
        <f t="shared" si="29"/>
        <v>1</v>
      </c>
      <c r="H304" s="2">
        <f>IF(G304=Training_Data!F304,1,0)</f>
        <v>0</v>
      </c>
    </row>
    <row r="305" spans="1:8" x14ac:dyDescent="0.2">
      <c r="A305" s="2">
        <f>$L$2+SUMPRODUCT($M$2:$Q$2,Training_Data!A305:E305)</f>
        <v>402.55</v>
      </c>
      <c r="B305" s="2">
        <f t="shared" si="24"/>
        <v>402.55</v>
      </c>
      <c r="C305" s="2">
        <f t="shared" si="25"/>
        <v>100</v>
      </c>
      <c r="D305" s="2">
        <f t="shared" si="26"/>
        <v>1</v>
      </c>
      <c r="E305" s="2">
        <f t="shared" si="27"/>
        <v>1</v>
      </c>
      <c r="F305" s="2">
        <f t="shared" si="28"/>
        <v>0.99</v>
      </c>
      <c r="G305" s="2">
        <f t="shared" si="29"/>
        <v>1</v>
      </c>
      <c r="H305" s="2">
        <f>IF(G305=Training_Data!F305,1,0)</f>
        <v>0</v>
      </c>
    </row>
    <row r="306" spans="1:8" x14ac:dyDescent="0.2">
      <c r="A306" s="2">
        <f>$L$2+SUMPRODUCT($M$2:$Q$2,Training_Data!A306:E306)</f>
        <v>1003.4470000000001</v>
      </c>
      <c r="B306" s="2">
        <f t="shared" si="24"/>
        <v>1003.4470000000001</v>
      </c>
      <c r="C306" s="2">
        <f t="shared" si="25"/>
        <v>100</v>
      </c>
      <c r="D306" s="2">
        <f t="shared" si="26"/>
        <v>1</v>
      </c>
      <c r="E306" s="2">
        <f t="shared" si="27"/>
        <v>1</v>
      </c>
      <c r="F306" s="2">
        <f t="shared" si="28"/>
        <v>0.99</v>
      </c>
      <c r="G306" s="2">
        <f t="shared" si="29"/>
        <v>1</v>
      </c>
      <c r="H306" s="2">
        <f>IF(G306=Training_Data!F306,1,0)</f>
        <v>0</v>
      </c>
    </row>
    <row r="307" spans="1:8" x14ac:dyDescent="0.2">
      <c r="A307" s="2">
        <f>$L$2+SUMPRODUCT($M$2:$Q$2,Training_Data!A307:E307)</f>
        <v>320622.35000000003</v>
      </c>
      <c r="B307" s="2">
        <f t="shared" si="24"/>
        <v>320622.35000000003</v>
      </c>
      <c r="C307" s="2">
        <f t="shared" si="25"/>
        <v>100</v>
      </c>
      <c r="D307" s="2">
        <f t="shared" si="26"/>
        <v>1</v>
      </c>
      <c r="E307" s="2">
        <f t="shared" si="27"/>
        <v>1</v>
      </c>
      <c r="F307" s="2">
        <f t="shared" si="28"/>
        <v>0.99</v>
      </c>
      <c r="G307" s="2">
        <f t="shared" si="29"/>
        <v>1</v>
      </c>
      <c r="H307" s="2">
        <f>IF(G307=Training_Data!F307,1,0)</f>
        <v>1</v>
      </c>
    </row>
    <row r="308" spans="1:8" x14ac:dyDescent="0.2">
      <c r="A308" s="2">
        <f>$L$2+SUMPRODUCT($M$2:$Q$2,Training_Data!A308:E308)</f>
        <v>640.64700000000005</v>
      </c>
      <c r="B308" s="2">
        <f t="shared" si="24"/>
        <v>640.64700000000005</v>
      </c>
      <c r="C308" s="2">
        <f t="shared" si="25"/>
        <v>100</v>
      </c>
      <c r="D308" s="2">
        <f t="shared" si="26"/>
        <v>1</v>
      </c>
      <c r="E308" s="2">
        <f t="shared" si="27"/>
        <v>1</v>
      </c>
      <c r="F308" s="2">
        <f t="shared" si="28"/>
        <v>0.99</v>
      </c>
      <c r="G308" s="2">
        <f t="shared" si="29"/>
        <v>1</v>
      </c>
      <c r="H308" s="2">
        <f>IF(G308=Training_Data!F308,1,0)</f>
        <v>1</v>
      </c>
    </row>
    <row r="309" spans="1:8" x14ac:dyDescent="0.2">
      <c r="A309" s="2">
        <f>$L$2+SUMPRODUCT($M$2:$Q$2,Training_Data!A309:E309)</f>
        <v>637.80000000000007</v>
      </c>
      <c r="B309" s="2">
        <f t="shared" si="24"/>
        <v>637.80000000000007</v>
      </c>
      <c r="C309" s="2">
        <f t="shared" si="25"/>
        <v>100</v>
      </c>
      <c r="D309" s="2">
        <f t="shared" si="26"/>
        <v>1</v>
      </c>
      <c r="E309" s="2">
        <f t="shared" si="27"/>
        <v>1</v>
      </c>
      <c r="F309" s="2">
        <f t="shared" si="28"/>
        <v>0.99</v>
      </c>
      <c r="G309" s="2">
        <f t="shared" si="29"/>
        <v>1</v>
      </c>
      <c r="H309" s="2">
        <f>IF(G309=Training_Data!F309,1,0)</f>
        <v>1</v>
      </c>
    </row>
    <row r="310" spans="1:8" x14ac:dyDescent="0.2">
      <c r="A310" s="2">
        <f>$L$2+SUMPRODUCT($M$2:$Q$2,Training_Data!A310:E310)</f>
        <v>212.17499999999998</v>
      </c>
      <c r="B310" s="2">
        <f t="shared" si="24"/>
        <v>212.17499999999998</v>
      </c>
      <c r="C310" s="2">
        <f t="shared" si="25"/>
        <v>100</v>
      </c>
      <c r="D310" s="2">
        <f t="shared" si="26"/>
        <v>1</v>
      </c>
      <c r="E310" s="2">
        <f t="shared" si="27"/>
        <v>1</v>
      </c>
      <c r="F310" s="2">
        <f t="shared" si="28"/>
        <v>0.99</v>
      </c>
      <c r="G310" s="2">
        <f t="shared" si="29"/>
        <v>1</v>
      </c>
      <c r="H310" s="2">
        <f>IF(G310=Training_Data!F310,1,0)</f>
        <v>1</v>
      </c>
    </row>
    <row r="311" spans="1:8" x14ac:dyDescent="0.2">
      <c r="A311" s="2">
        <f>$L$2+SUMPRODUCT($M$2:$Q$2,Training_Data!A311:E311)</f>
        <v>397.25299999999999</v>
      </c>
      <c r="B311" s="2">
        <f t="shared" si="24"/>
        <v>397.25299999999999</v>
      </c>
      <c r="C311" s="2">
        <f t="shared" si="25"/>
        <v>100</v>
      </c>
      <c r="D311" s="2">
        <f t="shared" si="26"/>
        <v>1</v>
      </c>
      <c r="E311" s="2">
        <f t="shared" si="27"/>
        <v>1</v>
      </c>
      <c r="F311" s="2">
        <f t="shared" si="28"/>
        <v>0.99</v>
      </c>
      <c r="G311" s="2">
        <f t="shared" si="29"/>
        <v>1</v>
      </c>
      <c r="H311" s="2">
        <f>IF(G311=Training_Data!F311,1,0)</f>
        <v>1</v>
      </c>
    </row>
    <row r="312" spans="1:8" x14ac:dyDescent="0.2">
      <c r="A312" s="2">
        <f>$L$2+SUMPRODUCT($M$2:$Q$2,Training_Data!A312:E312)</f>
        <v>506.697</v>
      </c>
      <c r="B312" s="2">
        <f t="shared" si="24"/>
        <v>506.697</v>
      </c>
      <c r="C312" s="2">
        <f t="shared" si="25"/>
        <v>100</v>
      </c>
      <c r="D312" s="2">
        <f t="shared" si="26"/>
        <v>1</v>
      </c>
      <c r="E312" s="2">
        <f t="shared" si="27"/>
        <v>1</v>
      </c>
      <c r="F312" s="2">
        <f t="shared" si="28"/>
        <v>0.99</v>
      </c>
      <c r="G312" s="2">
        <f t="shared" si="29"/>
        <v>1</v>
      </c>
      <c r="H312" s="2">
        <f>IF(G312=Training_Data!F312,1,0)</f>
        <v>1</v>
      </c>
    </row>
    <row r="313" spans="1:8" x14ac:dyDescent="0.2">
      <c r="A313" s="2">
        <f>$L$2+SUMPRODUCT($M$2:$Q$2,Training_Data!A313:E313)</f>
        <v>9198.2790000000005</v>
      </c>
      <c r="B313" s="2">
        <f t="shared" si="24"/>
        <v>9198.2790000000005</v>
      </c>
      <c r="C313" s="2">
        <f t="shared" si="25"/>
        <v>100</v>
      </c>
      <c r="D313" s="2">
        <f t="shared" si="26"/>
        <v>1</v>
      </c>
      <c r="E313" s="2">
        <f t="shared" si="27"/>
        <v>1</v>
      </c>
      <c r="F313" s="2">
        <f t="shared" si="28"/>
        <v>0.99</v>
      </c>
      <c r="G313" s="2">
        <f t="shared" si="29"/>
        <v>1</v>
      </c>
      <c r="H313" s="2">
        <f>IF(G313=Training_Data!F313,1,0)</f>
        <v>1</v>
      </c>
    </row>
    <row r="314" spans="1:8" x14ac:dyDescent="0.2">
      <c r="A314" s="2">
        <f>$L$2+SUMPRODUCT($M$2:$Q$2,Training_Data!A314:E314)</f>
        <v>135.244</v>
      </c>
      <c r="B314" s="2">
        <f t="shared" si="24"/>
        <v>135.244</v>
      </c>
      <c r="C314" s="2">
        <f t="shared" si="25"/>
        <v>100</v>
      </c>
      <c r="D314" s="2">
        <f t="shared" si="26"/>
        <v>1</v>
      </c>
      <c r="E314" s="2">
        <f t="shared" si="27"/>
        <v>1</v>
      </c>
      <c r="F314" s="2">
        <f t="shared" si="28"/>
        <v>0.99</v>
      </c>
      <c r="G314" s="2">
        <f t="shared" si="29"/>
        <v>1</v>
      </c>
      <c r="H314" s="2">
        <f>IF(G314=Training_Data!F314,1,0)</f>
        <v>0</v>
      </c>
    </row>
    <row r="315" spans="1:8" x14ac:dyDescent="0.2">
      <c r="A315" s="2">
        <f>$L$2+SUMPRODUCT($M$2:$Q$2,Training_Data!A315:E315)</f>
        <v>387.93700000000001</v>
      </c>
      <c r="B315" s="2">
        <f t="shared" si="24"/>
        <v>387.93700000000001</v>
      </c>
      <c r="C315" s="2">
        <f t="shared" si="25"/>
        <v>100</v>
      </c>
      <c r="D315" s="2">
        <f t="shared" si="26"/>
        <v>1</v>
      </c>
      <c r="E315" s="2">
        <f t="shared" si="27"/>
        <v>1</v>
      </c>
      <c r="F315" s="2">
        <f t="shared" si="28"/>
        <v>0.99</v>
      </c>
      <c r="G315" s="2">
        <f t="shared" si="29"/>
        <v>1</v>
      </c>
      <c r="H315" s="2">
        <f>IF(G315=Training_Data!F315,1,0)</f>
        <v>0</v>
      </c>
    </row>
    <row r="316" spans="1:8" x14ac:dyDescent="0.2">
      <c r="A316" s="2">
        <f>$L$2+SUMPRODUCT($M$2:$Q$2,Training_Data!A316:E316)</f>
        <v>773.80600000000004</v>
      </c>
      <c r="B316" s="2">
        <f t="shared" si="24"/>
        <v>773.80600000000004</v>
      </c>
      <c r="C316" s="2">
        <f t="shared" si="25"/>
        <v>100</v>
      </c>
      <c r="D316" s="2">
        <f t="shared" si="26"/>
        <v>1</v>
      </c>
      <c r="E316" s="2">
        <f t="shared" si="27"/>
        <v>1</v>
      </c>
      <c r="F316" s="2">
        <f t="shared" si="28"/>
        <v>0.99</v>
      </c>
      <c r="G316" s="2">
        <f t="shared" si="29"/>
        <v>1</v>
      </c>
      <c r="H316" s="2">
        <f>IF(G316=Training_Data!F316,1,0)</f>
        <v>0</v>
      </c>
    </row>
    <row r="317" spans="1:8" x14ac:dyDescent="0.2">
      <c r="A317" s="2">
        <f>$L$2+SUMPRODUCT($M$2:$Q$2,Training_Data!A317:E317)</f>
        <v>1484.5530000000001</v>
      </c>
      <c r="B317" s="2">
        <f t="shared" si="24"/>
        <v>1484.5530000000001</v>
      </c>
      <c r="C317" s="2">
        <f t="shared" si="25"/>
        <v>100</v>
      </c>
      <c r="D317" s="2">
        <f t="shared" si="26"/>
        <v>1</v>
      </c>
      <c r="E317" s="2">
        <f t="shared" si="27"/>
        <v>1</v>
      </c>
      <c r="F317" s="2">
        <f t="shared" si="28"/>
        <v>0.99</v>
      </c>
      <c r="G317" s="2">
        <f t="shared" si="29"/>
        <v>1</v>
      </c>
      <c r="H317" s="2">
        <f>IF(G317=Training_Data!F317,1,0)</f>
        <v>0</v>
      </c>
    </row>
    <row r="318" spans="1:8" x14ac:dyDescent="0.2">
      <c r="A318" s="2">
        <f>$L$2+SUMPRODUCT($M$2:$Q$2,Training_Data!A318:E318)</f>
        <v>244.25299999999999</v>
      </c>
      <c r="B318" s="2">
        <f t="shared" si="24"/>
        <v>244.25299999999999</v>
      </c>
      <c r="C318" s="2">
        <f t="shared" si="25"/>
        <v>100</v>
      </c>
      <c r="D318" s="2">
        <f t="shared" si="26"/>
        <v>1</v>
      </c>
      <c r="E318" s="2">
        <f t="shared" si="27"/>
        <v>1</v>
      </c>
      <c r="F318" s="2">
        <f t="shared" si="28"/>
        <v>0.99</v>
      </c>
      <c r="G318" s="2">
        <f t="shared" si="29"/>
        <v>1</v>
      </c>
      <c r="H318" s="2">
        <f>IF(G318=Training_Data!F318,1,0)</f>
        <v>0</v>
      </c>
    </row>
    <row r="319" spans="1:8" x14ac:dyDescent="0.2">
      <c r="A319" s="2">
        <f>$L$2+SUMPRODUCT($M$2:$Q$2,Training_Data!A319:E319)</f>
        <v>-8.8249999999999993</v>
      </c>
      <c r="B319" s="2">
        <f t="shared" si="24"/>
        <v>-8.8249999999999993</v>
      </c>
      <c r="C319" s="2">
        <f t="shared" si="25"/>
        <v>-8.8249999999999993</v>
      </c>
      <c r="D319" s="2">
        <f t="shared" si="26"/>
        <v>1.4698985301790708E-4</v>
      </c>
      <c r="E319" s="2">
        <f t="shared" si="27"/>
        <v>0.01</v>
      </c>
      <c r="F319" s="2">
        <f t="shared" si="28"/>
        <v>0.01</v>
      </c>
      <c r="G319" s="2">
        <f t="shared" si="29"/>
        <v>0</v>
      </c>
      <c r="H319" s="2">
        <f>IF(G319=Training_Data!F319,1,0)</f>
        <v>1</v>
      </c>
    </row>
    <row r="320" spans="1:8" x14ac:dyDescent="0.2">
      <c r="A320" s="2">
        <f>$L$2+SUMPRODUCT($M$2:$Q$2,Training_Data!A320:E320)</f>
        <v>630.52800000000013</v>
      </c>
      <c r="B320" s="2">
        <f t="shared" si="24"/>
        <v>630.52800000000013</v>
      </c>
      <c r="C320" s="2">
        <f t="shared" si="25"/>
        <v>100</v>
      </c>
      <c r="D320" s="2">
        <f t="shared" si="26"/>
        <v>1</v>
      </c>
      <c r="E320" s="2">
        <f t="shared" si="27"/>
        <v>1</v>
      </c>
      <c r="F320" s="2">
        <f t="shared" si="28"/>
        <v>0.99</v>
      </c>
      <c r="G320" s="2">
        <f t="shared" si="29"/>
        <v>1</v>
      </c>
      <c r="H320" s="2">
        <f>IF(G320=Training_Data!F320,1,0)</f>
        <v>0</v>
      </c>
    </row>
    <row r="321" spans="1:8" x14ac:dyDescent="0.2">
      <c r="A321" s="2">
        <f>$L$2+SUMPRODUCT($M$2:$Q$2,Training_Data!A321:E321)</f>
        <v>3643.6749999999997</v>
      </c>
      <c r="B321" s="2">
        <f t="shared" si="24"/>
        <v>3643.6749999999997</v>
      </c>
      <c r="C321" s="2">
        <f t="shared" si="25"/>
        <v>100</v>
      </c>
      <c r="D321" s="2">
        <f t="shared" si="26"/>
        <v>1</v>
      </c>
      <c r="E321" s="2">
        <f t="shared" si="27"/>
        <v>1</v>
      </c>
      <c r="F321" s="2">
        <f t="shared" si="28"/>
        <v>0.99</v>
      </c>
      <c r="G321" s="2">
        <f t="shared" si="29"/>
        <v>1</v>
      </c>
      <c r="H321" s="2">
        <f>IF(G321=Training_Data!F321,1,0)</f>
        <v>0</v>
      </c>
    </row>
    <row r="322" spans="1:8" x14ac:dyDescent="0.2">
      <c r="A322" s="2">
        <f>$L$2+SUMPRODUCT($M$2:$Q$2,Training_Data!A322:E322)</f>
        <v>432.22500000000002</v>
      </c>
      <c r="B322" s="2">
        <f t="shared" si="24"/>
        <v>432.22500000000002</v>
      </c>
      <c r="C322" s="2">
        <f t="shared" si="25"/>
        <v>100</v>
      </c>
      <c r="D322" s="2">
        <f t="shared" si="26"/>
        <v>1</v>
      </c>
      <c r="E322" s="2">
        <f t="shared" si="27"/>
        <v>1</v>
      </c>
      <c r="F322" s="2">
        <f t="shared" si="28"/>
        <v>0.99</v>
      </c>
      <c r="G322" s="2">
        <f t="shared" si="29"/>
        <v>1</v>
      </c>
      <c r="H322" s="2">
        <f>IF(G322=Training_Data!F322,1,0)</f>
        <v>0</v>
      </c>
    </row>
    <row r="323" spans="1:8" x14ac:dyDescent="0.2">
      <c r="A323" s="2">
        <f>$L$2+SUMPRODUCT($M$2:$Q$2,Training_Data!A323:E323)</f>
        <v>1070.9440000000002</v>
      </c>
      <c r="B323" s="2">
        <f t="shared" ref="B323:B386" si="30">IF(A323&lt;-100,-100,A323)</f>
        <v>1070.9440000000002</v>
      </c>
      <c r="C323" s="2">
        <f t="shared" ref="C323:C386" si="31">IF(B323&gt;100,100,B323)</f>
        <v>100</v>
      </c>
      <c r="D323" s="2">
        <f t="shared" ref="D323:D386" si="32">1/(1+EXP(-C323))</f>
        <v>1</v>
      </c>
      <c r="E323" s="2">
        <f t="shared" ref="E323:E386" si="33">IF(D323&lt;0.01,0.01,D323)</f>
        <v>1</v>
      </c>
      <c r="F323" s="2">
        <f t="shared" ref="F323:F386" si="34">IF(E323&gt;0.99,0.99, E323)</f>
        <v>0.99</v>
      </c>
      <c r="G323" s="2">
        <f t="shared" ref="G323:G386" si="35">IF(F323&gt;0.5,1,0)</f>
        <v>1</v>
      </c>
      <c r="H323" s="2">
        <f>IF(G323=Training_Data!F323,1,0)</f>
        <v>0</v>
      </c>
    </row>
    <row r="324" spans="1:8" x14ac:dyDescent="0.2">
      <c r="A324" s="2">
        <f>$L$2+SUMPRODUCT($M$2:$Q$2,Training_Data!A324:E324)</f>
        <v>707.80300000000011</v>
      </c>
      <c r="B324" s="2">
        <f t="shared" si="30"/>
        <v>707.80300000000011</v>
      </c>
      <c r="C324" s="2">
        <f t="shared" si="31"/>
        <v>100</v>
      </c>
      <c r="D324" s="2">
        <f t="shared" si="32"/>
        <v>1</v>
      </c>
      <c r="E324" s="2">
        <f t="shared" si="33"/>
        <v>1</v>
      </c>
      <c r="F324" s="2">
        <f t="shared" si="34"/>
        <v>0.99</v>
      </c>
      <c r="G324" s="2">
        <f t="shared" si="35"/>
        <v>1</v>
      </c>
      <c r="H324" s="2">
        <f>IF(G324=Training_Data!F324,1,0)</f>
        <v>0</v>
      </c>
    </row>
    <row r="325" spans="1:8" x14ac:dyDescent="0.2">
      <c r="A325" s="2">
        <f>$L$2+SUMPRODUCT($M$2:$Q$2,Training_Data!A325:E325)</f>
        <v>185.00299999999999</v>
      </c>
      <c r="B325" s="2">
        <f t="shared" si="30"/>
        <v>185.00299999999999</v>
      </c>
      <c r="C325" s="2">
        <f t="shared" si="31"/>
        <v>100</v>
      </c>
      <c r="D325" s="2">
        <f t="shared" si="32"/>
        <v>1</v>
      </c>
      <c r="E325" s="2">
        <f t="shared" si="33"/>
        <v>1</v>
      </c>
      <c r="F325" s="2">
        <f t="shared" si="34"/>
        <v>0.99</v>
      </c>
      <c r="G325" s="2">
        <f t="shared" si="35"/>
        <v>1</v>
      </c>
      <c r="H325" s="2">
        <f>IF(G325=Training_Data!F325,1,0)</f>
        <v>0</v>
      </c>
    </row>
    <row r="326" spans="1:8" x14ac:dyDescent="0.2">
      <c r="A326" s="2">
        <f>$L$2+SUMPRODUCT($M$2:$Q$2,Training_Data!A326:E326)</f>
        <v>218.97499999999999</v>
      </c>
      <c r="B326" s="2">
        <f t="shared" si="30"/>
        <v>218.97499999999999</v>
      </c>
      <c r="C326" s="2">
        <f t="shared" si="31"/>
        <v>100</v>
      </c>
      <c r="D326" s="2">
        <f t="shared" si="32"/>
        <v>1</v>
      </c>
      <c r="E326" s="2">
        <f t="shared" si="33"/>
        <v>1</v>
      </c>
      <c r="F326" s="2">
        <f t="shared" si="34"/>
        <v>0.99</v>
      </c>
      <c r="G326" s="2">
        <f t="shared" si="35"/>
        <v>1</v>
      </c>
      <c r="H326" s="2">
        <f>IF(G326=Training_Data!F326,1,0)</f>
        <v>0</v>
      </c>
    </row>
    <row r="327" spans="1:8" x14ac:dyDescent="0.2">
      <c r="A327" s="2">
        <f>$L$2+SUMPRODUCT($M$2:$Q$2,Training_Data!A327:E327)</f>
        <v>591.85</v>
      </c>
      <c r="B327" s="2">
        <f t="shared" si="30"/>
        <v>591.85</v>
      </c>
      <c r="C327" s="2">
        <f t="shared" si="31"/>
        <v>100</v>
      </c>
      <c r="D327" s="2">
        <f t="shared" si="32"/>
        <v>1</v>
      </c>
      <c r="E327" s="2">
        <f t="shared" si="33"/>
        <v>1</v>
      </c>
      <c r="F327" s="2">
        <f t="shared" si="34"/>
        <v>0.99</v>
      </c>
      <c r="G327" s="2">
        <f t="shared" si="35"/>
        <v>1</v>
      </c>
      <c r="H327" s="2">
        <f>IF(G327=Training_Data!F327,1,0)</f>
        <v>0</v>
      </c>
    </row>
    <row r="328" spans="1:8" x14ac:dyDescent="0.2">
      <c r="A328" s="2">
        <f>$L$2+SUMPRODUCT($M$2:$Q$2,Training_Data!A328:E328)</f>
        <v>607.72800000000007</v>
      </c>
      <c r="B328" s="2">
        <f t="shared" si="30"/>
        <v>607.72800000000007</v>
      </c>
      <c r="C328" s="2">
        <f t="shared" si="31"/>
        <v>100</v>
      </c>
      <c r="D328" s="2">
        <f t="shared" si="32"/>
        <v>1</v>
      </c>
      <c r="E328" s="2">
        <f t="shared" si="33"/>
        <v>1</v>
      </c>
      <c r="F328" s="2">
        <f t="shared" si="34"/>
        <v>0.99</v>
      </c>
      <c r="G328" s="2">
        <f t="shared" si="35"/>
        <v>1</v>
      </c>
      <c r="H328" s="2">
        <f>IF(G328=Training_Data!F328,1,0)</f>
        <v>0</v>
      </c>
    </row>
    <row r="329" spans="1:8" x14ac:dyDescent="0.2">
      <c r="A329" s="2">
        <f>$L$2+SUMPRODUCT($M$2:$Q$2,Training_Data!A329:E329)</f>
        <v>435.68400000000003</v>
      </c>
      <c r="B329" s="2">
        <f t="shared" si="30"/>
        <v>435.68400000000003</v>
      </c>
      <c r="C329" s="2">
        <f t="shared" si="31"/>
        <v>100</v>
      </c>
      <c r="D329" s="2">
        <f t="shared" si="32"/>
        <v>1</v>
      </c>
      <c r="E329" s="2">
        <f t="shared" si="33"/>
        <v>1</v>
      </c>
      <c r="F329" s="2">
        <f t="shared" si="34"/>
        <v>0.99</v>
      </c>
      <c r="G329" s="2">
        <f t="shared" si="35"/>
        <v>1</v>
      </c>
      <c r="H329" s="2">
        <f>IF(G329=Training_Data!F329,1,0)</f>
        <v>0</v>
      </c>
    </row>
    <row r="330" spans="1:8" x14ac:dyDescent="0.2">
      <c r="A330" s="2">
        <f>$L$2+SUMPRODUCT($M$2:$Q$2,Training_Data!A330:E330)</f>
        <v>13618.322</v>
      </c>
      <c r="B330" s="2">
        <f t="shared" si="30"/>
        <v>13618.322</v>
      </c>
      <c r="C330" s="2">
        <f t="shared" si="31"/>
        <v>100</v>
      </c>
      <c r="D330" s="2">
        <f t="shared" si="32"/>
        <v>1</v>
      </c>
      <c r="E330" s="2">
        <f t="shared" si="33"/>
        <v>1</v>
      </c>
      <c r="F330" s="2">
        <f t="shared" si="34"/>
        <v>0.99</v>
      </c>
      <c r="G330" s="2">
        <f t="shared" si="35"/>
        <v>1</v>
      </c>
      <c r="H330" s="2">
        <f>IF(G330=Training_Data!F330,1,0)</f>
        <v>0</v>
      </c>
    </row>
    <row r="331" spans="1:8" x14ac:dyDescent="0.2">
      <c r="A331" s="2">
        <f>$L$2+SUMPRODUCT($M$2:$Q$2,Training_Data!A331:E331)</f>
        <v>214.375</v>
      </c>
      <c r="B331" s="2">
        <f t="shared" si="30"/>
        <v>214.375</v>
      </c>
      <c r="C331" s="2">
        <f t="shared" si="31"/>
        <v>100</v>
      </c>
      <c r="D331" s="2">
        <f t="shared" si="32"/>
        <v>1</v>
      </c>
      <c r="E331" s="2">
        <f t="shared" si="33"/>
        <v>1</v>
      </c>
      <c r="F331" s="2">
        <f t="shared" si="34"/>
        <v>0.99</v>
      </c>
      <c r="G331" s="2">
        <f t="shared" si="35"/>
        <v>1</v>
      </c>
      <c r="H331" s="2">
        <f>IF(G331=Training_Data!F331,1,0)</f>
        <v>0</v>
      </c>
    </row>
    <row r="332" spans="1:8" x14ac:dyDescent="0.2">
      <c r="A332" s="2">
        <f>$L$2+SUMPRODUCT($M$2:$Q$2,Training_Data!A332:E332)</f>
        <v>370.82199999999995</v>
      </c>
      <c r="B332" s="2">
        <f t="shared" si="30"/>
        <v>370.82199999999995</v>
      </c>
      <c r="C332" s="2">
        <f t="shared" si="31"/>
        <v>100</v>
      </c>
      <c r="D332" s="2">
        <f t="shared" si="32"/>
        <v>1</v>
      </c>
      <c r="E332" s="2">
        <f t="shared" si="33"/>
        <v>1</v>
      </c>
      <c r="F332" s="2">
        <f t="shared" si="34"/>
        <v>0.99</v>
      </c>
      <c r="G332" s="2">
        <f t="shared" si="35"/>
        <v>1</v>
      </c>
      <c r="H332" s="2">
        <f>IF(G332=Training_Data!F332,1,0)</f>
        <v>0</v>
      </c>
    </row>
    <row r="333" spans="1:8" x14ac:dyDescent="0.2">
      <c r="A333" s="2">
        <f>$L$2+SUMPRODUCT($M$2:$Q$2,Training_Data!A333:E333)</f>
        <v>2.025000000000003</v>
      </c>
      <c r="B333" s="2">
        <f t="shared" si="30"/>
        <v>2.025000000000003</v>
      </c>
      <c r="C333" s="2">
        <f t="shared" si="31"/>
        <v>2.025000000000003</v>
      </c>
      <c r="D333" s="2">
        <f t="shared" si="32"/>
        <v>0.8833970308388609</v>
      </c>
      <c r="E333" s="2">
        <f t="shared" si="33"/>
        <v>0.8833970308388609</v>
      </c>
      <c r="F333" s="2">
        <f t="shared" si="34"/>
        <v>0.8833970308388609</v>
      </c>
      <c r="G333" s="2">
        <f t="shared" si="35"/>
        <v>1</v>
      </c>
      <c r="H333" s="2">
        <f>IF(G333=Training_Data!F333,1,0)</f>
        <v>0</v>
      </c>
    </row>
    <row r="334" spans="1:8" x14ac:dyDescent="0.2">
      <c r="A334" s="2">
        <f>$L$2+SUMPRODUCT($M$2:$Q$2,Training_Data!A334:E334)</f>
        <v>853.42500000000018</v>
      </c>
      <c r="B334" s="2">
        <f t="shared" si="30"/>
        <v>853.42500000000018</v>
      </c>
      <c r="C334" s="2">
        <f t="shared" si="31"/>
        <v>100</v>
      </c>
      <c r="D334" s="2">
        <f t="shared" si="32"/>
        <v>1</v>
      </c>
      <c r="E334" s="2">
        <f t="shared" si="33"/>
        <v>1</v>
      </c>
      <c r="F334" s="2">
        <f t="shared" si="34"/>
        <v>0.99</v>
      </c>
      <c r="G334" s="2">
        <f t="shared" si="35"/>
        <v>1</v>
      </c>
      <c r="H334" s="2">
        <f>IF(G334=Training_Data!F334,1,0)</f>
        <v>0</v>
      </c>
    </row>
    <row r="335" spans="1:8" x14ac:dyDescent="0.2">
      <c r="A335" s="2">
        <f>$L$2+SUMPRODUCT($M$2:$Q$2,Training_Data!A335:E335)</f>
        <v>4127.0249999999996</v>
      </c>
      <c r="B335" s="2">
        <f t="shared" si="30"/>
        <v>4127.0249999999996</v>
      </c>
      <c r="C335" s="2">
        <f t="shared" si="31"/>
        <v>100</v>
      </c>
      <c r="D335" s="2">
        <f t="shared" si="32"/>
        <v>1</v>
      </c>
      <c r="E335" s="2">
        <f t="shared" si="33"/>
        <v>1</v>
      </c>
      <c r="F335" s="2">
        <f t="shared" si="34"/>
        <v>0.99</v>
      </c>
      <c r="G335" s="2">
        <f t="shared" si="35"/>
        <v>1</v>
      </c>
      <c r="H335" s="2">
        <f>IF(G335=Training_Data!F335,1,0)</f>
        <v>0</v>
      </c>
    </row>
    <row r="336" spans="1:8" x14ac:dyDescent="0.2">
      <c r="A336" s="2">
        <f>$L$2+SUMPRODUCT($M$2:$Q$2,Training_Data!A336:E336)</f>
        <v>183.94399999999999</v>
      </c>
      <c r="B336" s="2">
        <f t="shared" si="30"/>
        <v>183.94399999999999</v>
      </c>
      <c r="C336" s="2">
        <f t="shared" si="31"/>
        <v>100</v>
      </c>
      <c r="D336" s="2">
        <f t="shared" si="32"/>
        <v>1</v>
      </c>
      <c r="E336" s="2">
        <f t="shared" si="33"/>
        <v>1</v>
      </c>
      <c r="F336" s="2">
        <f t="shared" si="34"/>
        <v>0.99</v>
      </c>
      <c r="G336" s="2">
        <f t="shared" si="35"/>
        <v>1</v>
      </c>
      <c r="H336" s="2">
        <f>IF(G336=Training_Data!F336,1,0)</f>
        <v>0</v>
      </c>
    </row>
    <row r="337" spans="1:8" x14ac:dyDescent="0.2">
      <c r="A337" s="2">
        <f>$L$2+SUMPRODUCT($M$2:$Q$2,Training_Data!A337:E337)</f>
        <v>126.60299999999999</v>
      </c>
      <c r="B337" s="2">
        <f t="shared" si="30"/>
        <v>126.60299999999999</v>
      </c>
      <c r="C337" s="2">
        <f t="shared" si="31"/>
        <v>100</v>
      </c>
      <c r="D337" s="2">
        <f t="shared" si="32"/>
        <v>1</v>
      </c>
      <c r="E337" s="2">
        <f t="shared" si="33"/>
        <v>1</v>
      </c>
      <c r="F337" s="2">
        <f t="shared" si="34"/>
        <v>0.99</v>
      </c>
      <c r="G337" s="2">
        <f t="shared" si="35"/>
        <v>1</v>
      </c>
      <c r="H337" s="2">
        <f>IF(G337=Training_Data!F337,1,0)</f>
        <v>0</v>
      </c>
    </row>
    <row r="338" spans="1:8" x14ac:dyDescent="0.2">
      <c r="A338" s="2">
        <f>$L$2+SUMPRODUCT($M$2:$Q$2,Training_Data!A338:E338)</f>
        <v>347.54699999999997</v>
      </c>
      <c r="B338" s="2">
        <f t="shared" si="30"/>
        <v>347.54699999999997</v>
      </c>
      <c r="C338" s="2">
        <f t="shared" si="31"/>
        <v>100</v>
      </c>
      <c r="D338" s="2">
        <f t="shared" si="32"/>
        <v>1</v>
      </c>
      <c r="E338" s="2">
        <f t="shared" si="33"/>
        <v>1</v>
      </c>
      <c r="F338" s="2">
        <f t="shared" si="34"/>
        <v>0.99</v>
      </c>
      <c r="G338" s="2">
        <f t="shared" si="35"/>
        <v>1</v>
      </c>
      <c r="H338" s="2">
        <f>IF(G338=Training_Data!F338,1,0)</f>
        <v>0</v>
      </c>
    </row>
    <row r="339" spans="1:8" x14ac:dyDescent="0.2">
      <c r="A339" s="2">
        <f>$L$2+SUMPRODUCT($M$2:$Q$2,Training_Data!A339:E339)</f>
        <v>116.03400000000001</v>
      </c>
      <c r="B339" s="2">
        <f t="shared" si="30"/>
        <v>116.03400000000001</v>
      </c>
      <c r="C339" s="2">
        <f t="shared" si="31"/>
        <v>100</v>
      </c>
      <c r="D339" s="2">
        <f t="shared" si="32"/>
        <v>1</v>
      </c>
      <c r="E339" s="2">
        <f t="shared" si="33"/>
        <v>1</v>
      </c>
      <c r="F339" s="2">
        <f t="shared" si="34"/>
        <v>0.99</v>
      </c>
      <c r="G339" s="2">
        <f t="shared" si="35"/>
        <v>1</v>
      </c>
      <c r="H339" s="2">
        <f>IF(G339=Training_Data!F339,1,0)</f>
        <v>0</v>
      </c>
    </row>
    <row r="340" spans="1:8" x14ac:dyDescent="0.2">
      <c r="A340" s="2">
        <f>$L$2+SUMPRODUCT($M$2:$Q$2,Training_Data!A340:E340)</f>
        <v>12812.45</v>
      </c>
      <c r="B340" s="2">
        <f t="shared" si="30"/>
        <v>12812.45</v>
      </c>
      <c r="C340" s="2">
        <f t="shared" si="31"/>
        <v>100</v>
      </c>
      <c r="D340" s="2">
        <f t="shared" si="32"/>
        <v>1</v>
      </c>
      <c r="E340" s="2">
        <f t="shared" si="33"/>
        <v>1</v>
      </c>
      <c r="F340" s="2">
        <f t="shared" si="34"/>
        <v>0.99</v>
      </c>
      <c r="G340" s="2">
        <f t="shared" si="35"/>
        <v>1</v>
      </c>
      <c r="H340" s="2">
        <f>IF(G340=Training_Data!F340,1,0)</f>
        <v>0</v>
      </c>
    </row>
    <row r="341" spans="1:8" x14ac:dyDescent="0.2">
      <c r="A341" s="2">
        <f>$L$2+SUMPRODUCT($M$2:$Q$2,Training_Data!A341:E341)</f>
        <v>-18.435000000000002</v>
      </c>
      <c r="B341" s="2">
        <f t="shared" si="30"/>
        <v>-18.435000000000002</v>
      </c>
      <c r="C341" s="2">
        <f t="shared" si="31"/>
        <v>-18.435000000000002</v>
      </c>
      <c r="D341" s="2">
        <f t="shared" si="32"/>
        <v>9.8578276718898395E-9</v>
      </c>
      <c r="E341" s="2">
        <f t="shared" si="33"/>
        <v>0.01</v>
      </c>
      <c r="F341" s="2">
        <f t="shared" si="34"/>
        <v>0.01</v>
      </c>
      <c r="G341" s="2">
        <f t="shared" si="35"/>
        <v>0</v>
      </c>
      <c r="H341" s="2">
        <f>IF(G341=Training_Data!F341,1,0)</f>
        <v>1</v>
      </c>
    </row>
    <row r="342" spans="1:8" x14ac:dyDescent="0.2">
      <c r="A342" s="2">
        <f>$L$2+SUMPRODUCT($M$2:$Q$2,Training_Data!A342:E342)</f>
        <v>263.84699999999998</v>
      </c>
      <c r="B342" s="2">
        <f t="shared" si="30"/>
        <v>263.84699999999998</v>
      </c>
      <c r="C342" s="2">
        <f t="shared" si="31"/>
        <v>100</v>
      </c>
      <c r="D342" s="2">
        <f t="shared" si="32"/>
        <v>1</v>
      </c>
      <c r="E342" s="2">
        <f t="shared" si="33"/>
        <v>1</v>
      </c>
      <c r="F342" s="2">
        <f t="shared" si="34"/>
        <v>0.99</v>
      </c>
      <c r="G342" s="2">
        <f t="shared" si="35"/>
        <v>1</v>
      </c>
      <c r="H342" s="2">
        <f>IF(G342=Training_Data!F342,1,0)</f>
        <v>0</v>
      </c>
    </row>
    <row r="343" spans="1:8" x14ac:dyDescent="0.2">
      <c r="A343" s="2">
        <f>$L$2+SUMPRODUCT($M$2:$Q$2,Training_Data!A343:E343)</f>
        <v>411.66299999999995</v>
      </c>
      <c r="B343" s="2">
        <f t="shared" si="30"/>
        <v>411.66299999999995</v>
      </c>
      <c r="C343" s="2">
        <f t="shared" si="31"/>
        <v>100</v>
      </c>
      <c r="D343" s="2">
        <f t="shared" si="32"/>
        <v>1</v>
      </c>
      <c r="E343" s="2">
        <f t="shared" si="33"/>
        <v>1</v>
      </c>
      <c r="F343" s="2">
        <f t="shared" si="34"/>
        <v>0.99</v>
      </c>
      <c r="G343" s="2">
        <f t="shared" si="35"/>
        <v>1</v>
      </c>
      <c r="H343" s="2">
        <f>IF(G343=Training_Data!F343,1,0)</f>
        <v>0</v>
      </c>
    </row>
    <row r="344" spans="1:8" x14ac:dyDescent="0.2">
      <c r="A344" s="2">
        <f>$L$2+SUMPRODUCT($M$2:$Q$2,Training_Data!A344:E344)</f>
        <v>189.28099999999998</v>
      </c>
      <c r="B344" s="2">
        <f t="shared" si="30"/>
        <v>189.28099999999998</v>
      </c>
      <c r="C344" s="2">
        <f t="shared" si="31"/>
        <v>100</v>
      </c>
      <c r="D344" s="2">
        <f t="shared" si="32"/>
        <v>1</v>
      </c>
      <c r="E344" s="2">
        <f t="shared" si="33"/>
        <v>1</v>
      </c>
      <c r="F344" s="2">
        <f t="shared" si="34"/>
        <v>0.99</v>
      </c>
      <c r="G344" s="2">
        <f t="shared" si="35"/>
        <v>1</v>
      </c>
      <c r="H344" s="2">
        <f>IF(G344=Training_Data!F344,1,0)</f>
        <v>0</v>
      </c>
    </row>
    <row r="345" spans="1:8" x14ac:dyDescent="0.2">
      <c r="A345" s="2">
        <f>$L$2+SUMPRODUCT($M$2:$Q$2,Training_Data!A345:E345)</f>
        <v>481.58499999999998</v>
      </c>
      <c r="B345" s="2">
        <f t="shared" si="30"/>
        <v>481.58499999999998</v>
      </c>
      <c r="C345" s="2">
        <f t="shared" si="31"/>
        <v>100</v>
      </c>
      <c r="D345" s="2">
        <f t="shared" si="32"/>
        <v>1</v>
      </c>
      <c r="E345" s="2">
        <f t="shared" si="33"/>
        <v>1</v>
      </c>
      <c r="F345" s="2">
        <f t="shared" si="34"/>
        <v>0.99</v>
      </c>
      <c r="G345" s="2">
        <f t="shared" si="35"/>
        <v>1</v>
      </c>
      <c r="H345" s="2">
        <f>IF(G345=Training_Data!F345,1,0)</f>
        <v>0</v>
      </c>
    </row>
    <row r="346" spans="1:8" x14ac:dyDescent="0.2">
      <c r="A346" s="2">
        <f>$L$2+SUMPRODUCT($M$2:$Q$2,Training_Data!A346:E346)</f>
        <v>138.41899999999998</v>
      </c>
      <c r="B346" s="2">
        <f t="shared" si="30"/>
        <v>138.41899999999998</v>
      </c>
      <c r="C346" s="2">
        <f t="shared" si="31"/>
        <v>100</v>
      </c>
      <c r="D346" s="2">
        <f t="shared" si="32"/>
        <v>1</v>
      </c>
      <c r="E346" s="2">
        <f t="shared" si="33"/>
        <v>1</v>
      </c>
      <c r="F346" s="2">
        <f t="shared" si="34"/>
        <v>0.99</v>
      </c>
      <c r="G346" s="2">
        <f t="shared" si="35"/>
        <v>1</v>
      </c>
      <c r="H346" s="2">
        <f>IF(G346=Training_Data!F346,1,0)</f>
        <v>0</v>
      </c>
    </row>
    <row r="347" spans="1:8" x14ac:dyDescent="0.2">
      <c r="A347" s="2">
        <f>$L$2+SUMPRODUCT($M$2:$Q$2,Training_Data!A347:E347)</f>
        <v>189.98699999999999</v>
      </c>
      <c r="B347" s="2">
        <f t="shared" si="30"/>
        <v>189.98699999999999</v>
      </c>
      <c r="C347" s="2">
        <f t="shared" si="31"/>
        <v>100</v>
      </c>
      <c r="D347" s="2">
        <f t="shared" si="32"/>
        <v>1</v>
      </c>
      <c r="E347" s="2">
        <f t="shared" si="33"/>
        <v>1</v>
      </c>
      <c r="F347" s="2">
        <f t="shared" si="34"/>
        <v>0.99</v>
      </c>
      <c r="G347" s="2">
        <f t="shared" si="35"/>
        <v>1</v>
      </c>
      <c r="H347" s="2">
        <f>IF(G347=Training_Data!F347,1,0)</f>
        <v>0</v>
      </c>
    </row>
    <row r="348" spans="1:8" x14ac:dyDescent="0.2">
      <c r="A348" s="2">
        <f>$L$2+SUMPRODUCT($M$2:$Q$2,Training_Data!A348:E348)</f>
        <v>129.47499999999999</v>
      </c>
      <c r="B348" s="2">
        <f t="shared" si="30"/>
        <v>129.47499999999999</v>
      </c>
      <c r="C348" s="2">
        <f t="shared" si="31"/>
        <v>100</v>
      </c>
      <c r="D348" s="2">
        <f t="shared" si="32"/>
        <v>1</v>
      </c>
      <c r="E348" s="2">
        <f t="shared" si="33"/>
        <v>1</v>
      </c>
      <c r="F348" s="2">
        <f t="shared" si="34"/>
        <v>0.99</v>
      </c>
      <c r="G348" s="2">
        <f t="shared" si="35"/>
        <v>1</v>
      </c>
      <c r="H348" s="2">
        <f>IF(G348=Training_Data!F348,1,0)</f>
        <v>0</v>
      </c>
    </row>
    <row r="349" spans="1:8" x14ac:dyDescent="0.2">
      <c r="A349" s="2">
        <f>$L$2+SUMPRODUCT($M$2:$Q$2,Training_Data!A349:E349)</f>
        <v>13585.181</v>
      </c>
      <c r="B349" s="2">
        <f t="shared" si="30"/>
        <v>13585.181</v>
      </c>
      <c r="C349" s="2">
        <f t="shared" si="31"/>
        <v>100</v>
      </c>
      <c r="D349" s="2">
        <f t="shared" si="32"/>
        <v>1</v>
      </c>
      <c r="E349" s="2">
        <f t="shared" si="33"/>
        <v>1</v>
      </c>
      <c r="F349" s="2">
        <f t="shared" si="34"/>
        <v>0.99</v>
      </c>
      <c r="G349" s="2">
        <f t="shared" si="35"/>
        <v>1</v>
      </c>
      <c r="H349" s="2">
        <f>IF(G349=Training_Data!F349,1,0)</f>
        <v>0</v>
      </c>
    </row>
    <row r="350" spans="1:8" x14ac:dyDescent="0.2">
      <c r="A350" s="2">
        <f>$L$2+SUMPRODUCT($M$2:$Q$2,Training_Data!A350:E350)</f>
        <v>111.741</v>
      </c>
      <c r="B350" s="2">
        <f t="shared" si="30"/>
        <v>111.741</v>
      </c>
      <c r="C350" s="2">
        <f t="shared" si="31"/>
        <v>100</v>
      </c>
      <c r="D350" s="2">
        <f t="shared" si="32"/>
        <v>1</v>
      </c>
      <c r="E350" s="2">
        <f t="shared" si="33"/>
        <v>1</v>
      </c>
      <c r="F350" s="2">
        <f t="shared" si="34"/>
        <v>0.99</v>
      </c>
      <c r="G350" s="2">
        <f t="shared" si="35"/>
        <v>1</v>
      </c>
      <c r="H350" s="2">
        <f>IF(G350=Training_Data!F350,1,0)</f>
        <v>0</v>
      </c>
    </row>
    <row r="351" spans="1:8" x14ac:dyDescent="0.2">
      <c r="A351" s="2">
        <f>$L$2+SUMPRODUCT($M$2:$Q$2,Training_Data!A351:E351)</f>
        <v>250.73099999999999</v>
      </c>
      <c r="B351" s="2">
        <f t="shared" si="30"/>
        <v>250.73099999999999</v>
      </c>
      <c r="C351" s="2">
        <f t="shared" si="31"/>
        <v>100</v>
      </c>
      <c r="D351" s="2">
        <f t="shared" si="32"/>
        <v>1</v>
      </c>
      <c r="E351" s="2">
        <f t="shared" si="33"/>
        <v>1</v>
      </c>
      <c r="F351" s="2">
        <f t="shared" si="34"/>
        <v>0.99</v>
      </c>
      <c r="G351" s="2">
        <f t="shared" si="35"/>
        <v>1</v>
      </c>
      <c r="H351" s="2">
        <f>IF(G351=Training_Data!F351,1,0)</f>
        <v>0</v>
      </c>
    </row>
    <row r="352" spans="1:8" x14ac:dyDescent="0.2">
      <c r="A352" s="2">
        <f>$L$2+SUMPRODUCT($M$2:$Q$2,Training_Data!A352:E352)</f>
        <v>4563.4189999999999</v>
      </c>
      <c r="B352" s="2">
        <f t="shared" si="30"/>
        <v>4563.4189999999999</v>
      </c>
      <c r="C352" s="2">
        <f t="shared" si="31"/>
        <v>100</v>
      </c>
      <c r="D352" s="2">
        <f t="shared" si="32"/>
        <v>1</v>
      </c>
      <c r="E352" s="2">
        <f t="shared" si="33"/>
        <v>1</v>
      </c>
      <c r="F352" s="2">
        <f t="shared" si="34"/>
        <v>0.99</v>
      </c>
      <c r="G352" s="2">
        <f t="shared" si="35"/>
        <v>1</v>
      </c>
      <c r="H352" s="2">
        <f>IF(G352=Training_Data!F352,1,0)</f>
        <v>0</v>
      </c>
    </row>
    <row r="353" spans="1:8" x14ac:dyDescent="0.2">
      <c r="A353" s="2">
        <f>$L$2+SUMPRODUCT($M$2:$Q$2,Training_Data!A353:E353)</f>
        <v>809.87800000000016</v>
      </c>
      <c r="B353" s="2">
        <f t="shared" si="30"/>
        <v>809.87800000000016</v>
      </c>
      <c r="C353" s="2">
        <f t="shared" si="31"/>
        <v>100</v>
      </c>
      <c r="D353" s="2">
        <f t="shared" si="32"/>
        <v>1</v>
      </c>
      <c r="E353" s="2">
        <f t="shared" si="33"/>
        <v>1</v>
      </c>
      <c r="F353" s="2">
        <f t="shared" si="34"/>
        <v>0.99</v>
      </c>
      <c r="G353" s="2">
        <f t="shared" si="35"/>
        <v>1</v>
      </c>
      <c r="H353" s="2">
        <f>IF(G353=Training_Data!F353,1,0)</f>
        <v>0</v>
      </c>
    </row>
    <row r="354" spans="1:8" x14ac:dyDescent="0.2">
      <c r="A354" s="2">
        <f>$L$2+SUMPRODUCT($M$2:$Q$2,Training_Data!A354:E354)</f>
        <v>3484.085</v>
      </c>
      <c r="B354" s="2">
        <f t="shared" si="30"/>
        <v>3484.085</v>
      </c>
      <c r="C354" s="2">
        <f t="shared" si="31"/>
        <v>100</v>
      </c>
      <c r="D354" s="2">
        <f t="shared" si="32"/>
        <v>1</v>
      </c>
      <c r="E354" s="2">
        <f t="shared" si="33"/>
        <v>1</v>
      </c>
      <c r="F354" s="2">
        <f t="shared" si="34"/>
        <v>0.99</v>
      </c>
      <c r="G354" s="2">
        <f t="shared" si="35"/>
        <v>1</v>
      </c>
      <c r="H354" s="2">
        <f>IF(G354=Training_Data!F354,1,0)</f>
        <v>0</v>
      </c>
    </row>
    <row r="355" spans="1:8" x14ac:dyDescent="0.2">
      <c r="A355" s="2">
        <f>$L$2+SUMPRODUCT($M$2:$Q$2,Training_Data!A355:E355)</f>
        <v>493.28100000000001</v>
      </c>
      <c r="B355" s="2">
        <f t="shared" si="30"/>
        <v>493.28100000000001</v>
      </c>
      <c r="C355" s="2">
        <f t="shared" si="31"/>
        <v>100</v>
      </c>
      <c r="D355" s="2">
        <f t="shared" si="32"/>
        <v>1</v>
      </c>
      <c r="E355" s="2">
        <f t="shared" si="33"/>
        <v>1</v>
      </c>
      <c r="F355" s="2">
        <f t="shared" si="34"/>
        <v>0.99</v>
      </c>
      <c r="G355" s="2">
        <f t="shared" si="35"/>
        <v>1</v>
      </c>
      <c r="H355" s="2">
        <f>IF(G355=Training_Data!F355,1,0)</f>
        <v>0</v>
      </c>
    </row>
    <row r="356" spans="1:8" x14ac:dyDescent="0.2">
      <c r="A356" s="2">
        <f>$L$2+SUMPRODUCT($M$2:$Q$2,Training_Data!A356:E356)</f>
        <v>91.378</v>
      </c>
      <c r="B356" s="2">
        <f t="shared" si="30"/>
        <v>91.378</v>
      </c>
      <c r="C356" s="2">
        <f t="shared" si="31"/>
        <v>91.378</v>
      </c>
      <c r="D356" s="2">
        <f t="shared" si="32"/>
        <v>1</v>
      </c>
      <c r="E356" s="2">
        <f t="shared" si="33"/>
        <v>1</v>
      </c>
      <c r="F356" s="2">
        <f t="shared" si="34"/>
        <v>0.99</v>
      </c>
      <c r="G356" s="2">
        <f t="shared" si="35"/>
        <v>1</v>
      </c>
      <c r="H356" s="2">
        <f>IF(G356=Training_Data!F356,1,0)</f>
        <v>0</v>
      </c>
    </row>
    <row r="357" spans="1:8" x14ac:dyDescent="0.2">
      <c r="A357" s="2">
        <f>$L$2+SUMPRODUCT($M$2:$Q$2,Training_Data!A357:E357)</f>
        <v>166.422</v>
      </c>
      <c r="B357" s="2">
        <f t="shared" si="30"/>
        <v>166.422</v>
      </c>
      <c r="C357" s="2">
        <f t="shared" si="31"/>
        <v>100</v>
      </c>
      <c r="D357" s="2">
        <f t="shared" si="32"/>
        <v>1</v>
      </c>
      <c r="E357" s="2">
        <f t="shared" si="33"/>
        <v>1</v>
      </c>
      <c r="F357" s="2">
        <f t="shared" si="34"/>
        <v>0.99</v>
      </c>
      <c r="G357" s="2">
        <f t="shared" si="35"/>
        <v>1</v>
      </c>
      <c r="H357" s="2">
        <f>IF(G357=Training_Data!F357,1,0)</f>
        <v>0</v>
      </c>
    </row>
    <row r="358" spans="1:8" x14ac:dyDescent="0.2">
      <c r="A358" s="2">
        <f>$L$2+SUMPRODUCT($M$2:$Q$2,Training_Data!A358:E358)</f>
        <v>357.09999999999997</v>
      </c>
      <c r="B358" s="2">
        <f t="shared" si="30"/>
        <v>357.09999999999997</v>
      </c>
      <c r="C358" s="2">
        <f t="shared" si="31"/>
        <v>100</v>
      </c>
      <c r="D358" s="2">
        <f t="shared" si="32"/>
        <v>1</v>
      </c>
      <c r="E358" s="2">
        <f t="shared" si="33"/>
        <v>1</v>
      </c>
      <c r="F358" s="2">
        <f t="shared" si="34"/>
        <v>0.99</v>
      </c>
      <c r="G358" s="2">
        <f t="shared" si="35"/>
        <v>1</v>
      </c>
      <c r="H358" s="2">
        <f>IF(G358=Training_Data!F358,1,0)</f>
        <v>0</v>
      </c>
    </row>
    <row r="359" spans="1:8" x14ac:dyDescent="0.2">
      <c r="A359" s="2">
        <f>$L$2+SUMPRODUCT($M$2:$Q$2,Training_Data!A359:E359)</f>
        <v>3743.6029999999996</v>
      </c>
      <c r="B359" s="2">
        <f t="shared" si="30"/>
        <v>3743.6029999999996</v>
      </c>
      <c r="C359" s="2">
        <f t="shared" si="31"/>
        <v>100</v>
      </c>
      <c r="D359" s="2">
        <f t="shared" si="32"/>
        <v>1</v>
      </c>
      <c r="E359" s="2">
        <f t="shared" si="33"/>
        <v>1</v>
      </c>
      <c r="F359" s="2">
        <f t="shared" si="34"/>
        <v>0.99</v>
      </c>
      <c r="G359" s="2">
        <f t="shared" si="35"/>
        <v>1</v>
      </c>
      <c r="H359" s="2">
        <f>IF(G359=Training_Data!F359,1,0)</f>
        <v>0</v>
      </c>
    </row>
    <row r="360" spans="1:8" x14ac:dyDescent="0.2">
      <c r="A360" s="2">
        <f>$L$2+SUMPRODUCT($M$2:$Q$2,Training_Data!A360:E360)</f>
        <v>288.08699999999999</v>
      </c>
      <c r="B360" s="2">
        <f t="shared" si="30"/>
        <v>288.08699999999999</v>
      </c>
      <c r="C360" s="2">
        <f t="shared" si="31"/>
        <v>100</v>
      </c>
      <c r="D360" s="2">
        <f t="shared" si="32"/>
        <v>1</v>
      </c>
      <c r="E360" s="2">
        <f t="shared" si="33"/>
        <v>1</v>
      </c>
      <c r="F360" s="2">
        <f t="shared" si="34"/>
        <v>0.99</v>
      </c>
      <c r="G360" s="2">
        <f t="shared" si="35"/>
        <v>1</v>
      </c>
      <c r="H360" s="2">
        <f>IF(G360=Training_Data!F360,1,0)</f>
        <v>0</v>
      </c>
    </row>
    <row r="361" spans="1:8" x14ac:dyDescent="0.2">
      <c r="A361" s="2">
        <f>$L$2+SUMPRODUCT($M$2:$Q$2,Training_Data!A361:E361)</f>
        <v>114.688</v>
      </c>
      <c r="B361" s="2">
        <f t="shared" si="30"/>
        <v>114.688</v>
      </c>
      <c r="C361" s="2">
        <f t="shared" si="31"/>
        <v>100</v>
      </c>
      <c r="D361" s="2">
        <f t="shared" si="32"/>
        <v>1</v>
      </c>
      <c r="E361" s="2">
        <f t="shared" si="33"/>
        <v>1</v>
      </c>
      <c r="F361" s="2">
        <f t="shared" si="34"/>
        <v>0.99</v>
      </c>
      <c r="G361" s="2">
        <f t="shared" si="35"/>
        <v>1</v>
      </c>
      <c r="H361" s="2">
        <f>IF(G361=Training_Data!F361,1,0)</f>
        <v>0</v>
      </c>
    </row>
    <row r="362" spans="1:8" x14ac:dyDescent="0.2">
      <c r="A362" s="2">
        <f>$L$2+SUMPRODUCT($M$2:$Q$2,Training_Data!A362:E362)</f>
        <v>3531.5059999999999</v>
      </c>
      <c r="B362" s="2">
        <f t="shared" si="30"/>
        <v>3531.5059999999999</v>
      </c>
      <c r="C362" s="2">
        <f t="shared" si="31"/>
        <v>100</v>
      </c>
      <c r="D362" s="2">
        <f t="shared" si="32"/>
        <v>1</v>
      </c>
      <c r="E362" s="2">
        <f t="shared" si="33"/>
        <v>1</v>
      </c>
      <c r="F362" s="2">
        <f t="shared" si="34"/>
        <v>0.99</v>
      </c>
      <c r="G362" s="2">
        <f t="shared" si="35"/>
        <v>1</v>
      </c>
      <c r="H362" s="2">
        <f>IF(G362=Training_Data!F362,1,0)</f>
        <v>0</v>
      </c>
    </row>
    <row r="363" spans="1:8" x14ac:dyDescent="0.2">
      <c r="A363" s="2">
        <f>$L$2+SUMPRODUCT($M$2:$Q$2,Training_Data!A363:E363)</f>
        <v>326.85300000000001</v>
      </c>
      <c r="B363" s="2">
        <f t="shared" si="30"/>
        <v>326.85300000000001</v>
      </c>
      <c r="C363" s="2">
        <f t="shared" si="31"/>
        <v>100</v>
      </c>
      <c r="D363" s="2">
        <f t="shared" si="32"/>
        <v>1</v>
      </c>
      <c r="E363" s="2">
        <f t="shared" si="33"/>
        <v>1</v>
      </c>
      <c r="F363" s="2">
        <f t="shared" si="34"/>
        <v>0.99</v>
      </c>
      <c r="G363" s="2">
        <f t="shared" si="35"/>
        <v>1</v>
      </c>
      <c r="H363" s="2">
        <f>IF(G363=Training_Data!F363,1,0)</f>
        <v>0</v>
      </c>
    </row>
    <row r="364" spans="1:8" x14ac:dyDescent="0.2">
      <c r="A364" s="2">
        <f>$L$2+SUMPRODUCT($M$2:$Q$2,Training_Data!A364:E364)</f>
        <v>926.22200000000009</v>
      </c>
      <c r="B364" s="2">
        <f t="shared" si="30"/>
        <v>926.22200000000009</v>
      </c>
      <c r="C364" s="2">
        <f t="shared" si="31"/>
        <v>100</v>
      </c>
      <c r="D364" s="2">
        <f t="shared" si="32"/>
        <v>1</v>
      </c>
      <c r="E364" s="2">
        <f t="shared" si="33"/>
        <v>1</v>
      </c>
      <c r="F364" s="2">
        <f t="shared" si="34"/>
        <v>0.99</v>
      </c>
      <c r="G364" s="2">
        <f t="shared" si="35"/>
        <v>1</v>
      </c>
      <c r="H364" s="2">
        <f>IF(G364=Training_Data!F364,1,0)</f>
        <v>0</v>
      </c>
    </row>
    <row r="365" spans="1:8" x14ac:dyDescent="0.2">
      <c r="A365" s="2">
        <f>$L$2+SUMPRODUCT($M$2:$Q$2,Training_Data!A365:E365)</f>
        <v>303.53399999999999</v>
      </c>
      <c r="B365" s="2">
        <f t="shared" si="30"/>
        <v>303.53399999999999</v>
      </c>
      <c r="C365" s="2">
        <f t="shared" si="31"/>
        <v>100</v>
      </c>
      <c r="D365" s="2">
        <f t="shared" si="32"/>
        <v>1</v>
      </c>
      <c r="E365" s="2">
        <f t="shared" si="33"/>
        <v>1</v>
      </c>
      <c r="F365" s="2">
        <f t="shared" si="34"/>
        <v>0.99</v>
      </c>
      <c r="G365" s="2">
        <f t="shared" si="35"/>
        <v>1</v>
      </c>
      <c r="H365" s="2">
        <f>IF(G365=Training_Data!F365,1,0)</f>
        <v>0</v>
      </c>
    </row>
    <row r="366" spans="1:8" x14ac:dyDescent="0.2">
      <c r="A366" s="2">
        <f>$L$2+SUMPRODUCT($M$2:$Q$2,Training_Data!A366:E366)</f>
        <v>14948.884</v>
      </c>
      <c r="B366" s="2">
        <f t="shared" si="30"/>
        <v>14948.884</v>
      </c>
      <c r="C366" s="2">
        <f t="shared" si="31"/>
        <v>100</v>
      </c>
      <c r="D366" s="2">
        <f t="shared" si="32"/>
        <v>1</v>
      </c>
      <c r="E366" s="2">
        <f t="shared" si="33"/>
        <v>1</v>
      </c>
      <c r="F366" s="2">
        <f t="shared" si="34"/>
        <v>0.99</v>
      </c>
      <c r="G366" s="2">
        <f t="shared" si="35"/>
        <v>1</v>
      </c>
      <c r="H366" s="2">
        <f>IF(G366=Training_Data!F366,1,0)</f>
        <v>0</v>
      </c>
    </row>
    <row r="367" spans="1:8" x14ac:dyDescent="0.2">
      <c r="A367" s="2">
        <f>$L$2+SUMPRODUCT($M$2:$Q$2,Training_Data!A367:E367)</f>
        <v>528.22800000000007</v>
      </c>
      <c r="B367" s="2">
        <f t="shared" si="30"/>
        <v>528.22800000000007</v>
      </c>
      <c r="C367" s="2">
        <f t="shared" si="31"/>
        <v>100</v>
      </c>
      <c r="D367" s="2">
        <f t="shared" si="32"/>
        <v>1</v>
      </c>
      <c r="E367" s="2">
        <f t="shared" si="33"/>
        <v>1</v>
      </c>
      <c r="F367" s="2">
        <f t="shared" si="34"/>
        <v>0.99</v>
      </c>
      <c r="G367" s="2">
        <f t="shared" si="35"/>
        <v>1</v>
      </c>
      <c r="H367" s="2">
        <f>IF(G367=Training_Data!F367,1,0)</f>
        <v>0</v>
      </c>
    </row>
    <row r="368" spans="1:8" x14ac:dyDescent="0.2">
      <c r="A368" s="2">
        <f>$L$2+SUMPRODUCT($M$2:$Q$2,Training_Data!A368:E368)</f>
        <v>164.197</v>
      </c>
      <c r="B368" s="2">
        <f t="shared" si="30"/>
        <v>164.197</v>
      </c>
      <c r="C368" s="2">
        <f t="shared" si="31"/>
        <v>100</v>
      </c>
      <c r="D368" s="2">
        <f t="shared" si="32"/>
        <v>1</v>
      </c>
      <c r="E368" s="2">
        <f t="shared" si="33"/>
        <v>1</v>
      </c>
      <c r="F368" s="2">
        <f t="shared" si="34"/>
        <v>0.99</v>
      </c>
      <c r="G368" s="2">
        <f t="shared" si="35"/>
        <v>1</v>
      </c>
      <c r="H368" s="2">
        <f>IF(G368=Training_Data!F368,1,0)</f>
        <v>0</v>
      </c>
    </row>
    <row r="369" spans="1:8" x14ac:dyDescent="0.2">
      <c r="A369" s="2">
        <f>$L$2+SUMPRODUCT($M$2:$Q$2,Training_Data!A369:E369)</f>
        <v>207.994</v>
      </c>
      <c r="B369" s="2">
        <f t="shared" si="30"/>
        <v>207.994</v>
      </c>
      <c r="C369" s="2">
        <f t="shared" si="31"/>
        <v>100</v>
      </c>
      <c r="D369" s="2">
        <f t="shared" si="32"/>
        <v>1</v>
      </c>
      <c r="E369" s="2">
        <f t="shared" si="33"/>
        <v>1</v>
      </c>
      <c r="F369" s="2">
        <f t="shared" si="34"/>
        <v>0.99</v>
      </c>
      <c r="G369" s="2">
        <f t="shared" si="35"/>
        <v>1</v>
      </c>
      <c r="H369" s="2">
        <f>IF(G369=Training_Data!F369,1,0)</f>
        <v>0</v>
      </c>
    </row>
    <row r="370" spans="1:8" x14ac:dyDescent="0.2">
      <c r="A370" s="2">
        <f>$L$2+SUMPRODUCT($M$2:$Q$2,Training_Data!A370:E370)</f>
        <v>1715.6030000000001</v>
      </c>
      <c r="B370" s="2">
        <f t="shared" si="30"/>
        <v>1715.6030000000001</v>
      </c>
      <c r="C370" s="2">
        <f t="shared" si="31"/>
        <v>100</v>
      </c>
      <c r="D370" s="2">
        <f t="shared" si="32"/>
        <v>1</v>
      </c>
      <c r="E370" s="2">
        <f t="shared" si="33"/>
        <v>1</v>
      </c>
      <c r="F370" s="2">
        <f t="shared" si="34"/>
        <v>0.99</v>
      </c>
      <c r="G370" s="2">
        <f t="shared" si="35"/>
        <v>1</v>
      </c>
      <c r="H370" s="2">
        <f>IF(G370=Training_Data!F370,1,0)</f>
        <v>0</v>
      </c>
    </row>
    <row r="371" spans="1:8" x14ac:dyDescent="0.2">
      <c r="A371" s="2">
        <f>$L$2+SUMPRODUCT($M$2:$Q$2,Training_Data!A371:E371)</f>
        <v>-15.296999999999997</v>
      </c>
      <c r="B371" s="2">
        <f t="shared" si="30"/>
        <v>-15.296999999999997</v>
      </c>
      <c r="C371" s="2">
        <f t="shared" si="31"/>
        <v>-15.296999999999997</v>
      </c>
      <c r="D371" s="2">
        <f t="shared" si="32"/>
        <v>2.2729883595173282E-7</v>
      </c>
      <c r="E371" s="2">
        <f t="shared" si="33"/>
        <v>0.01</v>
      </c>
      <c r="F371" s="2">
        <f t="shared" si="34"/>
        <v>0.01</v>
      </c>
      <c r="G371" s="2">
        <f t="shared" si="35"/>
        <v>0</v>
      </c>
      <c r="H371" s="2">
        <f>IF(G371=Training_Data!F371,1,0)</f>
        <v>1</v>
      </c>
    </row>
    <row r="372" spans="1:8" x14ac:dyDescent="0.2">
      <c r="A372" s="2">
        <f>$L$2+SUMPRODUCT($M$2:$Q$2,Training_Data!A372:E372)</f>
        <v>4021.2930000000001</v>
      </c>
      <c r="B372" s="2">
        <f t="shared" si="30"/>
        <v>4021.2930000000001</v>
      </c>
      <c r="C372" s="2">
        <f t="shared" si="31"/>
        <v>100</v>
      </c>
      <c r="D372" s="2">
        <f t="shared" si="32"/>
        <v>1</v>
      </c>
      <c r="E372" s="2">
        <f t="shared" si="33"/>
        <v>1</v>
      </c>
      <c r="F372" s="2">
        <f t="shared" si="34"/>
        <v>0.99</v>
      </c>
      <c r="G372" s="2">
        <f t="shared" si="35"/>
        <v>1</v>
      </c>
      <c r="H372" s="2">
        <f>IF(G372=Training_Data!F372,1,0)</f>
        <v>0</v>
      </c>
    </row>
    <row r="373" spans="1:8" x14ac:dyDescent="0.2">
      <c r="A373" s="2">
        <f>$L$2+SUMPRODUCT($M$2:$Q$2,Training_Data!A373:E373)</f>
        <v>66.900000000000006</v>
      </c>
      <c r="B373" s="2">
        <f t="shared" si="30"/>
        <v>66.900000000000006</v>
      </c>
      <c r="C373" s="2">
        <f t="shared" si="31"/>
        <v>66.900000000000006</v>
      </c>
      <c r="D373" s="2">
        <f t="shared" si="32"/>
        <v>1</v>
      </c>
      <c r="E373" s="2">
        <f t="shared" si="33"/>
        <v>1</v>
      </c>
      <c r="F373" s="2">
        <f t="shared" si="34"/>
        <v>0.99</v>
      </c>
      <c r="G373" s="2">
        <f t="shared" si="35"/>
        <v>1</v>
      </c>
      <c r="H373" s="2">
        <f>IF(G373=Training_Data!F373,1,0)</f>
        <v>0</v>
      </c>
    </row>
    <row r="374" spans="1:8" x14ac:dyDescent="0.2">
      <c r="A374" s="2">
        <f>$L$2+SUMPRODUCT($M$2:$Q$2,Training_Data!A374:E374)</f>
        <v>359.05</v>
      </c>
      <c r="B374" s="2">
        <f t="shared" si="30"/>
        <v>359.05</v>
      </c>
      <c r="C374" s="2">
        <f t="shared" si="31"/>
        <v>100</v>
      </c>
      <c r="D374" s="2">
        <f t="shared" si="32"/>
        <v>1</v>
      </c>
      <c r="E374" s="2">
        <f t="shared" si="33"/>
        <v>1</v>
      </c>
      <c r="F374" s="2">
        <f t="shared" si="34"/>
        <v>0.99</v>
      </c>
      <c r="G374" s="2">
        <f t="shared" si="35"/>
        <v>1</v>
      </c>
      <c r="H374" s="2">
        <f>IF(G374=Training_Data!F374,1,0)</f>
        <v>0</v>
      </c>
    </row>
    <row r="375" spans="1:8" x14ac:dyDescent="0.2">
      <c r="A375" s="2">
        <f>$L$2+SUMPRODUCT($M$2:$Q$2,Training_Data!A375:E375)</f>
        <v>-13.453000000000003</v>
      </c>
      <c r="B375" s="2">
        <f t="shared" si="30"/>
        <v>-13.453000000000003</v>
      </c>
      <c r="C375" s="2">
        <f t="shared" si="31"/>
        <v>-13.453000000000003</v>
      </c>
      <c r="D375" s="2">
        <f t="shared" si="32"/>
        <v>1.436930327215159E-6</v>
      </c>
      <c r="E375" s="2">
        <f t="shared" si="33"/>
        <v>0.01</v>
      </c>
      <c r="F375" s="2">
        <f t="shared" si="34"/>
        <v>0.01</v>
      </c>
      <c r="G375" s="2">
        <f t="shared" si="35"/>
        <v>0</v>
      </c>
      <c r="H375" s="2">
        <f>IF(G375=Training_Data!F375,1,0)</f>
        <v>1</v>
      </c>
    </row>
    <row r="376" spans="1:8" x14ac:dyDescent="0.2">
      <c r="A376" s="2">
        <f>$L$2+SUMPRODUCT($M$2:$Q$2,Training_Data!A376:E376)</f>
        <v>244.184</v>
      </c>
      <c r="B376" s="2">
        <f t="shared" si="30"/>
        <v>244.184</v>
      </c>
      <c r="C376" s="2">
        <f t="shared" si="31"/>
        <v>100</v>
      </c>
      <c r="D376" s="2">
        <f t="shared" si="32"/>
        <v>1</v>
      </c>
      <c r="E376" s="2">
        <f t="shared" si="33"/>
        <v>1</v>
      </c>
      <c r="F376" s="2">
        <f t="shared" si="34"/>
        <v>0.99</v>
      </c>
      <c r="G376" s="2">
        <f t="shared" si="35"/>
        <v>1</v>
      </c>
      <c r="H376" s="2">
        <f>IF(G376=Training_Data!F376,1,0)</f>
        <v>0</v>
      </c>
    </row>
    <row r="377" spans="1:8" x14ac:dyDescent="0.2">
      <c r="A377" s="2">
        <f>$L$2+SUMPRODUCT($M$2:$Q$2,Training_Data!A377:E377)</f>
        <v>-15.401000000000007</v>
      </c>
      <c r="B377" s="2">
        <f t="shared" si="30"/>
        <v>-15.401000000000007</v>
      </c>
      <c r="C377" s="2">
        <f t="shared" si="31"/>
        <v>-15.401000000000007</v>
      </c>
      <c r="D377" s="2">
        <f t="shared" si="32"/>
        <v>2.0484746563319927E-7</v>
      </c>
      <c r="E377" s="2">
        <f t="shared" si="33"/>
        <v>0.01</v>
      </c>
      <c r="F377" s="2">
        <f t="shared" si="34"/>
        <v>0.01</v>
      </c>
      <c r="G377" s="2">
        <f t="shared" si="35"/>
        <v>0</v>
      </c>
      <c r="H377" s="2">
        <f>IF(G377=Training_Data!F377,1,0)</f>
        <v>1</v>
      </c>
    </row>
    <row r="378" spans="1:8" x14ac:dyDescent="0.2">
      <c r="A378" s="2">
        <f>$L$2+SUMPRODUCT($M$2:$Q$2,Training_Data!A378:E378)</f>
        <v>788.24700000000007</v>
      </c>
      <c r="B378" s="2">
        <f t="shared" si="30"/>
        <v>788.24700000000007</v>
      </c>
      <c r="C378" s="2">
        <f t="shared" si="31"/>
        <v>100</v>
      </c>
      <c r="D378" s="2">
        <f t="shared" si="32"/>
        <v>1</v>
      </c>
      <c r="E378" s="2">
        <f t="shared" si="33"/>
        <v>1</v>
      </c>
      <c r="F378" s="2">
        <f t="shared" si="34"/>
        <v>0.99</v>
      </c>
      <c r="G378" s="2">
        <f t="shared" si="35"/>
        <v>1</v>
      </c>
      <c r="H378" s="2">
        <f>IF(G378=Training_Data!F378,1,0)</f>
        <v>0</v>
      </c>
    </row>
    <row r="379" spans="1:8" x14ac:dyDescent="0.2">
      <c r="A379" s="2">
        <f>$L$2+SUMPRODUCT($M$2:$Q$2,Training_Data!A379:E379)</f>
        <v>695.15000000000009</v>
      </c>
      <c r="B379" s="2">
        <f t="shared" si="30"/>
        <v>695.15000000000009</v>
      </c>
      <c r="C379" s="2">
        <f t="shared" si="31"/>
        <v>100</v>
      </c>
      <c r="D379" s="2">
        <f t="shared" si="32"/>
        <v>1</v>
      </c>
      <c r="E379" s="2">
        <f t="shared" si="33"/>
        <v>1</v>
      </c>
      <c r="F379" s="2">
        <f t="shared" si="34"/>
        <v>0.99</v>
      </c>
      <c r="G379" s="2">
        <f t="shared" si="35"/>
        <v>1</v>
      </c>
      <c r="H379" s="2">
        <f>IF(G379=Training_Data!F379,1,0)</f>
        <v>0</v>
      </c>
    </row>
    <row r="380" spans="1:8" x14ac:dyDescent="0.2">
      <c r="A380" s="2">
        <f>$L$2+SUMPRODUCT($M$2:$Q$2,Training_Data!A380:E380)</f>
        <v>943.97200000000009</v>
      </c>
      <c r="B380" s="2">
        <f t="shared" si="30"/>
        <v>943.97200000000009</v>
      </c>
      <c r="C380" s="2">
        <f t="shared" si="31"/>
        <v>100</v>
      </c>
      <c r="D380" s="2">
        <f t="shared" si="32"/>
        <v>1</v>
      </c>
      <c r="E380" s="2">
        <f t="shared" si="33"/>
        <v>1</v>
      </c>
      <c r="F380" s="2">
        <f t="shared" si="34"/>
        <v>0.99</v>
      </c>
      <c r="G380" s="2">
        <f t="shared" si="35"/>
        <v>1</v>
      </c>
      <c r="H380" s="2">
        <f>IF(G380=Training_Data!F380,1,0)</f>
        <v>0</v>
      </c>
    </row>
    <row r="381" spans="1:8" x14ac:dyDescent="0.2">
      <c r="A381" s="2">
        <f>$L$2+SUMPRODUCT($M$2:$Q$2,Training_Data!A381:E381)</f>
        <v>144.61299999999997</v>
      </c>
      <c r="B381" s="2">
        <f t="shared" si="30"/>
        <v>144.61299999999997</v>
      </c>
      <c r="C381" s="2">
        <f t="shared" si="31"/>
        <v>100</v>
      </c>
      <c r="D381" s="2">
        <f t="shared" si="32"/>
        <v>1</v>
      </c>
      <c r="E381" s="2">
        <f t="shared" si="33"/>
        <v>1</v>
      </c>
      <c r="F381" s="2">
        <f t="shared" si="34"/>
        <v>0.99</v>
      </c>
      <c r="G381" s="2">
        <f t="shared" si="35"/>
        <v>1</v>
      </c>
      <c r="H381" s="2">
        <f>IF(G381=Training_Data!F381,1,0)</f>
        <v>0</v>
      </c>
    </row>
    <row r="382" spans="1:8" x14ac:dyDescent="0.2">
      <c r="A382" s="2">
        <f>$L$2+SUMPRODUCT($M$2:$Q$2,Training_Data!A382:E382)</f>
        <v>594.84700000000009</v>
      </c>
      <c r="B382" s="2">
        <f t="shared" si="30"/>
        <v>594.84700000000009</v>
      </c>
      <c r="C382" s="2">
        <f t="shared" si="31"/>
        <v>100</v>
      </c>
      <c r="D382" s="2">
        <f t="shared" si="32"/>
        <v>1</v>
      </c>
      <c r="E382" s="2">
        <f t="shared" si="33"/>
        <v>1</v>
      </c>
      <c r="F382" s="2">
        <f t="shared" si="34"/>
        <v>0.99</v>
      </c>
      <c r="G382" s="2">
        <f t="shared" si="35"/>
        <v>1</v>
      </c>
      <c r="H382" s="2">
        <f>IF(G382=Training_Data!F382,1,0)</f>
        <v>0</v>
      </c>
    </row>
    <row r="383" spans="1:8" x14ac:dyDescent="0.2">
      <c r="A383" s="2">
        <f>$L$2+SUMPRODUCT($M$2:$Q$2,Training_Data!A383:E383)</f>
        <v>-20.524999999999999</v>
      </c>
      <c r="B383" s="2">
        <f t="shared" si="30"/>
        <v>-20.524999999999999</v>
      </c>
      <c r="C383" s="2">
        <f t="shared" si="31"/>
        <v>-20.524999999999999</v>
      </c>
      <c r="D383" s="2">
        <f t="shared" si="32"/>
        <v>1.2192864806509641E-9</v>
      </c>
      <c r="E383" s="2">
        <f t="shared" si="33"/>
        <v>0.01</v>
      </c>
      <c r="F383" s="2">
        <f t="shared" si="34"/>
        <v>0.01</v>
      </c>
      <c r="G383" s="2">
        <f t="shared" si="35"/>
        <v>0</v>
      </c>
      <c r="H383" s="2">
        <f>IF(G383=Training_Data!F383,1,0)</f>
        <v>1</v>
      </c>
    </row>
    <row r="384" spans="1:8" x14ac:dyDescent="0.2">
      <c r="A384" s="2">
        <f>$L$2+SUMPRODUCT($M$2:$Q$2,Training_Data!A384:E384)</f>
        <v>152.01299999999998</v>
      </c>
      <c r="B384" s="2">
        <f t="shared" si="30"/>
        <v>152.01299999999998</v>
      </c>
      <c r="C384" s="2">
        <f t="shared" si="31"/>
        <v>100</v>
      </c>
      <c r="D384" s="2">
        <f t="shared" si="32"/>
        <v>1</v>
      </c>
      <c r="E384" s="2">
        <f t="shared" si="33"/>
        <v>1</v>
      </c>
      <c r="F384" s="2">
        <f t="shared" si="34"/>
        <v>0.99</v>
      </c>
      <c r="G384" s="2">
        <f t="shared" si="35"/>
        <v>1</v>
      </c>
      <c r="H384" s="2">
        <f>IF(G384=Training_Data!F384,1,0)</f>
        <v>0</v>
      </c>
    </row>
    <row r="385" spans="1:8" x14ac:dyDescent="0.2">
      <c r="A385" s="2">
        <f>$L$2+SUMPRODUCT($M$2:$Q$2,Training_Data!A385:E385)</f>
        <v>419.39000000000004</v>
      </c>
      <c r="B385" s="2">
        <f t="shared" si="30"/>
        <v>419.39000000000004</v>
      </c>
      <c r="C385" s="2">
        <f t="shared" si="31"/>
        <v>100</v>
      </c>
      <c r="D385" s="2">
        <f t="shared" si="32"/>
        <v>1</v>
      </c>
      <c r="E385" s="2">
        <f t="shared" si="33"/>
        <v>1</v>
      </c>
      <c r="F385" s="2">
        <f t="shared" si="34"/>
        <v>0.99</v>
      </c>
      <c r="G385" s="2">
        <f t="shared" si="35"/>
        <v>1</v>
      </c>
      <c r="H385" s="2">
        <f>IF(G385=Training_Data!F385,1,0)</f>
        <v>0</v>
      </c>
    </row>
    <row r="386" spans="1:8" x14ac:dyDescent="0.2">
      <c r="A386" s="2">
        <f>$L$2+SUMPRODUCT($M$2:$Q$2,Training_Data!A386:E386)</f>
        <v>65.297000000000011</v>
      </c>
      <c r="B386" s="2">
        <f t="shared" si="30"/>
        <v>65.297000000000011</v>
      </c>
      <c r="C386" s="2">
        <f t="shared" si="31"/>
        <v>65.297000000000011</v>
      </c>
      <c r="D386" s="2">
        <f t="shared" si="32"/>
        <v>1</v>
      </c>
      <c r="E386" s="2">
        <f t="shared" si="33"/>
        <v>1</v>
      </c>
      <c r="F386" s="2">
        <f t="shared" si="34"/>
        <v>0.99</v>
      </c>
      <c r="G386" s="2">
        <f t="shared" si="35"/>
        <v>1</v>
      </c>
      <c r="H386" s="2">
        <f>IF(G386=Training_Data!F386,1,0)</f>
        <v>0</v>
      </c>
    </row>
    <row r="387" spans="1:8" x14ac:dyDescent="0.2">
      <c r="A387" s="2">
        <f>$L$2+SUMPRODUCT($M$2:$Q$2,Training_Data!A387:E387)</f>
        <v>371.53999999999996</v>
      </c>
      <c r="B387" s="2">
        <f t="shared" ref="B387:B450" si="36">IF(A387&lt;-100,-100,A387)</f>
        <v>371.53999999999996</v>
      </c>
      <c r="C387" s="2">
        <f t="shared" ref="C387:C450" si="37">IF(B387&gt;100,100,B387)</f>
        <v>100</v>
      </c>
      <c r="D387" s="2">
        <f t="shared" ref="D387:D450" si="38">1/(1+EXP(-C387))</f>
        <v>1</v>
      </c>
      <c r="E387" s="2">
        <f t="shared" ref="E387:E450" si="39">IF(D387&lt;0.01,0.01,D387)</f>
        <v>1</v>
      </c>
      <c r="F387" s="2">
        <f t="shared" ref="F387:F450" si="40">IF(E387&gt;0.99,0.99, E387)</f>
        <v>0.99</v>
      </c>
      <c r="G387" s="2">
        <f t="shared" ref="G387:G450" si="41">IF(F387&gt;0.5,1,0)</f>
        <v>1</v>
      </c>
      <c r="H387" s="2">
        <f>IF(G387=Training_Data!F387,1,0)</f>
        <v>0</v>
      </c>
    </row>
    <row r="388" spans="1:8" x14ac:dyDescent="0.2">
      <c r="A388" s="2">
        <f>$L$2+SUMPRODUCT($M$2:$Q$2,Training_Data!A388:E388)</f>
        <v>768.53400000000011</v>
      </c>
      <c r="B388" s="2">
        <f t="shared" si="36"/>
        <v>768.53400000000011</v>
      </c>
      <c r="C388" s="2">
        <f t="shared" si="37"/>
        <v>100</v>
      </c>
      <c r="D388" s="2">
        <f t="shared" si="38"/>
        <v>1</v>
      </c>
      <c r="E388" s="2">
        <f t="shared" si="39"/>
        <v>1</v>
      </c>
      <c r="F388" s="2">
        <f t="shared" si="40"/>
        <v>0.99</v>
      </c>
      <c r="G388" s="2">
        <f t="shared" si="41"/>
        <v>1</v>
      </c>
      <c r="H388" s="2">
        <f>IF(G388=Training_Data!F388,1,0)</f>
        <v>0</v>
      </c>
    </row>
    <row r="389" spans="1:8" x14ac:dyDescent="0.2">
      <c r="A389" s="2">
        <f>$L$2+SUMPRODUCT($M$2:$Q$2,Training_Data!A389:E389)</f>
        <v>714.01900000000001</v>
      </c>
      <c r="B389" s="2">
        <f t="shared" si="36"/>
        <v>714.01900000000001</v>
      </c>
      <c r="C389" s="2">
        <f t="shared" si="37"/>
        <v>100</v>
      </c>
      <c r="D389" s="2">
        <f t="shared" si="38"/>
        <v>1</v>
      </c>
      <c r="E389" s="2">
        <f t="shared" si="39"/>
        <v>1</v>
      </c>
      <c r="F389" s="2">
        <f t="shared" si="40"/>
        <v>0.99</v>
      </c>
      <c r="G389" s="2">
        <f t="shared" si="41"/>
        <v>1</v>
      </c>
      <c r="H389" s="2">
        <f>IF(G389=Training_Data!F389,1,0)</f>
        <v>0</v>
      </c>
    </row>
    <row r="390" spans="1:8" x14ac:dyDescent="0.2">
      <c r="A390" s="2">
        <f>$L$2+SUMPRODUCT($M$2:$Q$2,Training_Data!A390:E390)</f>
        <v>72.725000000000009</v>
      </c>
      <c r="B390" s="2">
        <f t="shared" si="36"/>
        <v>72.725000000000009</v>
      </c>
      <c r="C390" s="2">
        <f t="shared" si="37"/>
        <v>72.725000000000009</v>
      </c>
      <c r="D390" s="2">
        <f t="shared" si="38"/>
        <v>1</v>
      </c>
      <c r="E390" s="2">
        <f t="shared" si="39"/>
        <v>1</v>
      </c>
      <c r="F390" s="2">
        <f t="shared" si="40"/>
        <v>0.99</v>
      </c>
      <c r="G390" s="2">
        <f t="shared" si="41"/>
        <v>1</v>
      </c>
      <c r="H390" s="2">
        <f>IF(G390=Training_Data!F390,1,0)</f>
        <v>0</v>
      </c>
    </row>
    <row r="391" spans="1:8" x14ac:dyDescent="0.2">
      <c r="A391" s="2">
        <f>$L$2+SUMPRODUCT($M$2:$Q$2,Training_Data!A391:E391)</f>
        <v>194.38399999999999</v>
      </c>
      <c r="B391" s="2">
        <f t="shared" si="36"/>
        <v>194.38399999999999</v>
      </c>
      <c r="C391" s="2">
        <f t="shared" si="37"/>
        <v>100</v>
      </c>
      <c r="D391" s="2">
        <f t="shared" si="38"/>
        <v>1</v>
      </c>
      <c r="E391" s="2">
        <f t="shared" si="39"/>
        <v>1</v>
      </c>
      <c r="F391" s="2">
        <f t="shared" si="40"/>
        <v>0.99</v>
      </c>
      <c r="G391" s="2">
        <f t="shared" si="41"/>
        <v>1</v>
      </c>
      <c r="H391" s="2">
        <f>IF(G391=Training_Data!F391,1,0)</f>
        <v>0</v>
      </c>
    </row>
    <row r="392" spans="1:8" x14ac:dyDescent="0.2">
      <c r="A392" s="2">
        <f>$L$2+SUMPRODUCT($M$2:$Q$2,Training_Data!A392:E392)</f>
        <v>611.24</v>
      </c>
      <c r="B392" s="2">
        <f t="shared" si="36"/>
        <v>611.24</v>
      </c>
      <c r="C392" s="2">
        <f t="shared" si="37"/>
        <v>100</v>
      </c>
      <c r="D392" s="2">
        <f t="shared" si="38"/>
        <v>1</v>
      </c>
      <c r="E392" s="2">
        <f t="shared" si="39"/>
        <v>1</v>
      </c>
      <c r="F392" s="2">
        <f t="shared" si="40"/>
        <v>0.99</v>
      </c>
      <c r="G392" s="2">
        <f t="shared" si="41"/>
        <v>1</v>
      </c>
      <c r="H392" s="2">
        <f>IF(G392=Training_Data!F392,1,0)</f>
        <v>0</v>
      </c>
    </row>
    <row r="393" spans="1:8" x14ac:dyDescent="0.2">
      <c r="A393" s="2">
        <f>$L$2+SUMPRODUCT($M$2:$Q$2,Training_Data!A393:E393)</f>
        <v>-44.65</v>
      </c>
      <c r="B393" s="2">
        <f t="shared" si="36"/>
        <v>-44.65</v>
      </c>
      <c r="C393" s="2">
        <f t="shared" si="37"/>
        <v>-44.65</v>
      </c>
      <c r="D393" s="2">
        <f t="shared" si="38"/>
        <v>4.0621072249028841E-20</v>
      </c>
      <c r="E393" s="2">
        <f t="shared" si="39"/>
        <v>0.01</v>
      </c>
      <c r="F393" s="2">
        <f t="shared" si="40"/>
        <v>0.01</v>
      </c>
      <c r="G393" s="2">
        <f t="shared" si="41"/>
        <v>0</v>
      </c>
      <c r="H393" s="2">
        <f>IF(G393=Training_Data!F393,1,0)</f>
        <v>1</v>
      </c>
    </row>
    <row r="394" spans="1:8" x14ac:dyDescent="0.2">
      <c r="A394" s="2">
        <f>$L$2+SUMPRODUCT($M$2:$Q$2,Training_Data!A394:E394)</f>
        <v>2596.741</v>
      </c>
      <c r="B394" s="2">
        <f t="shared" si="36"/>
        <v>2596.741</v>
      </c>
      <c r="C394" s="2">
        <f t="shared" si="37"/>
        <v>100</v>
      </c>
      <c r="D394" s="2">
        <f t="shared" si="38"/>
        <v>1</v>
      </c>
      <c r="E394" s="2">
        <f t="shared" si="39"/>
        <v>1</v>
      </c>
      <c r="F394" s="2">
        <f t="shared" si="40"/>
        <v>0.99</v>
      </c>
      <c r="G394" s="2">
        <f t="shared" si="41"/>
        <v>1</v>
      </c>
      <c r="H394" s="2">
        <f>IF(G394=Training_Data!F394,1,0)</f>
        <v>0</v>
      </c>
    </row>
    <row r="395" spans="1:8" x14ac:dyDescent="0.2">
      <c r="A395" s="2">
        <f>$L$2+SUMPRODUCT($M$2:$Q$2,Training_Data!A395:E395)</f>
        <v>16.528000000000002</v>
      </c>
      <c r="B395" s="2">
        <f t="shared" si="36"/>
        <v>16.528000000000002</v>
      </c>
      <c r="C395" s="2">
        <f t="shared" si="37"/>
        <v>16.528000000000002</v>
      </c>
      <c r="D395" s="2">
        <f t="shared" si="38"/>
        <v>0.99999993362863115</v>
      </c>
      <c r="E395" s="2">
        <f t="shared" si="39"/>
        <v>0.99999993362863115</v>
      </c>
      <c r="F395" s="2">
        <f t="shared" si="40"/>
        <v>0.99</v>
      </c>
      <c r="G395" s="2">
        <f t="shared" si="41"/>
        <v>1</v>
      </c>
      <c r="H395" s="2">
        <f>IF(G395=Training_Data!F395,1,0)</f>
        <v>0</v>
      </c>
    </row>
    <row r="396" spans="1:8" x14ac:dyDescent="0.2">
      <c r="A396" s="2">
        <f>$L$2+SUMPRODUCT($M$2:$Q$2,Training_Data!A396:E396)</f>
        <v>224.08099999999999</v>
      </c>
      <c r="B396" s="2">
        <f t="shared" si="36"/>
        <v>224.08099999999999</v>
      </c>
      <c r="C396" s="2">
        <f t="shared" si="37"/>
        <v>100</v>
      </c>
      <c r="D396" s="2">
        <f t="shared" si="38"/>
        <v>1</v>
      </c>
      <c r="E396" s="2">
        <f t="shared" si="39"/>
        <v>1</v>
      </c>
      <c r="F396" s="2">
        <f t="shared" si="40"/>
        <v>0.99</v>
      </c>
      <c r="G396" s="2">
        <f t="shared" si="41"/>
        <v>1</v>
      </c>
      <c r="H396" s="2">
        <f>IF(G396=Training_Data!F396,1,0)</f>
        <v>0</v>
      </c>
    </row>
    <row r="397" spans="1:8" x14ac:dyDescent="0.2">
      <c r="A397" s="2">
        <f>$L$2+SUMPRODUCT($M$2:$Q$2,Training_Data!A397:E397)</f>
        <v>678.81200000000013</v>
      </c>
      <c r="B397" s="2">
        <f t="shared" si="36"/>
        <v>678.81200000000013</v>
      </c>
      <c r="C397" s="2">
        <f t="shared" si="37"/>
        <v>100</v>
      </c>
      <c r="D397" s="2">
        <f t="shared" si="38"/>
        <v>1</v>
      </c>
      <c r="E397" s="2">
        <f t="shared" si="39"/>
        <v>1</v>
      </c>
      <c r="F397" s="2">
        <f t="shared" si="40"/>
        <v>0.99</v>
      </c>
      <c r="G397" s="2">
        <f t="shared" si="41"/>
        <v>1</v>
      </c>
      <c r="H397" s="2">
        <f>IF(G397=Training_Data!F397,1,0)</f>
        <v>0</v>
      </c>
    </row>
    <row r="398" spans="1:8" x14ac:dyDescent="0.2">
      <c r="A398" s="2">
        <f>$L$2+SUMPRODUCT($M$2:$Q$2,Training_Data!A398:E398)</f>
        <v>61.297000000000011</v>
      </c>
      <c r="B398" s="2">
        <f t="shared" si="36"/>
        <v>61.297000000000011</v>
      </c>
      <c r="C398" s="2">
        <f t="shared" si="37"/>
        <v>61.297000000000011</v>
      </c>
      <c r="D398" s="2">
        <f t="shared" si="38"/>
        <v>1</v>
      </c>
      <c r="E398" s="2">
        <f t="shared" si="39"/>
        <v>1</v>
      </c>
      <c r="F398" s="2">
        <f t="shared" si="40"/>
        <v>0.99</v>
      </c>
      <c r="G398" s="2">
        <f t="shared" si="41"/>
        <v>1</v>
      </c>
      <c r="H398" s="2">
        <f>IF(G398=Training_Data!F398,1,0)</f>
        <v>0</v>
      </c>
    </row>
    <row r="399" spans="1:8" x14ac:dyDescent="0.2">
      <c r="A399" s="2">
        <f>$L$2+SUMPRODUCT($M$2:$Q$2,Training_Data!A399:E399)</f>
        <v>173.38800000000001</v>
      </c>
      <c r="B399" s="2">
        <f t="shared" si="36"/>
        <v>173.38800000000001</v>
      </c>
      <c r="C399" s="2">
        <f t="shared" si="37"/>
        <v>100</v>
      </c>
      <c r="D399" s="2">
        <f t="shared" si="38"/>
        <v>1</v>
      </c>
      <c r="E399" s="2">
        <f t="shared" si="39"/>
        <v>1</v>
      </c>
      <c r="F399" s="2">
        <f t="shared" si="40"/>
        <v>0.99</v>
      </c>
      <c r="G399" s="2">
        <f t="shared" si="41"/>
        <v>1</v>
      </c>
      <c r="H399" s="2">
        <f>IF(G399=Training_Data!F399,1,0)</f>
        <v>0</v>
      </c>
    </row>
    <row r="400" spans="1:8" x14ac:dyDescent="0.2">
      <c r="A400" s="2">
        <f>$L$2+SUMPRODUCT($M$2:$Q$2,Training_Data!A400:E400)</f>
        <v>361.47800000000001</v>
      </c>
      <c r="B400" s="2">
        <f t="shared" si="36"/>
        <v>361.47800000000001</v>
      </c>
      <c r="C400" s="2">
        <f t="shared" si="37"/>
        <v>100</v>
      </c>
      <c r="D400" s="2">
        <f t="shared" si="38"/>
        <v>1</v>
      </c>
      <c r="E400" s="2">
        <f t="shared" si="39"/>
        <v>1</v>
      </c>
      <c r="F400" s="2">
        <f t="shared" si="40"/>
        <v>0.99</v>
      </c>
      <c r="G400" s="2">
        <f t="shared" si="41"/>
        <v>1</v>
      </c>
      <c r="H400" s="2">
        <f>IF(G400=Training_Data!F400,1,0)</f>
        <v>0</v>
      </c>
    </row>
    <row r="401" spans="1:8" x14ac:dyDescent="0.2">
      <c r="A401" s="2">
        <f>$L$2+SUMPRODUCT($M$2:$Q$2,Training_Data!A401:E401)</f>
        <v>525.91200000000003</v>
      </c>
      <c r="B401" s="2">
        <f t="shared" si="36"/>
        <v>525.91200000000003</v>
      </c>
      <c r="C401" s="2">
        <f t="shared" si="37"/>
        <v>100</v>
      </c>
      <c r="D401" s="2">
        <f t="shared" si="38"/>
        <v>1</v>
      </c>
      <c r="E401" s="2">
        <f t="shared" si="39"/>
        <v>1</v>
      </c>
      <c r="F401" s="2">
        <f t="shared" si="40"/>
        <v>0.99</v>
      </c>
      <c r="G401" s="2">
        <f t="shared" si="41"/>
        <v>1</v>
      </c>
      <c r="H401" s="2">
        <f>IF(G401=Training_Data!F401,1,0)</f>
        <v>0</v>
      </c>
    </row>
    <row r="402" spans="1:8" x14ac:dyDescent="0.2">
      <c r="A402" s="2">
        <f>$L$2+SUMPRODUCT($M$2:$Q$2,Training_Data!A402:E402)</f>
        <v>357.27499999999998</v>
      </c>
      <c r="B402" s="2">
        <f t="shared" si="36"/>
        <v>357.27499999999998</v>
      </c>
      <c r="C402" s="2">
        <f t="shared" si="37"/>
        <v>100</v>
      </c>
      <c r="D402" s="2">
        <f t="shared" si="38"/>
        <v>1</v>
      </c>
      <c r="E402" s="2">
        <f t="shared" si="39"/>
        <v>1</v>
      </c>
      <c r="F402" s="2">
        <f t="shared" si="40"/>
        <v>0.99</v>
      </c>
      <c r="G402" s="2">
        <f t="shared" si="41"/>
        <v>1</v>
      </c>
      <c r="H402" s="2">
        <f>IF(G402=Training_Data!F402,1,0)</f>
        <v>0</v>
      </c>
    </row>
    <row r="403" spans="1:8" x14ac:dyDescent="0.2">
      <c r="A403" s="2">
        <f>$L$2+SUMPRODUCT($M$2:$Q$2,Training_Data!A403:E403)</f>
        <v>468.95</v>
      </c>
      <c r="B403" s="2">
        <f t="shared" si="36"/>
        <v>468.95</v>
      </c>
      <c r="C403" s="2">
        <f t="shared" si="37"/>
        <v>100</v>
      </c>
      <c r="D403" s="2">
        <f t="shared" si="38"/>
        <v>1</v>
      </c>
      <c r="E403" s="2">
        <f t="shared" si="39"/>
        <v>1</v>
      </c>
      <c r="F403" s="2">
        <f t="shared" si="40"/>
        <v>0.99</v>
      </c>
      <c r="G403" s="2">
        <f t="shared" si="41"/>
        <v>1</v>
      </c>
      <c r="H403" s="2">
        <f>IF(G403=Training_Data!F403,1,0)</f>
        <v>0</v>
      </c>
    </row>
    <row r="404" spans="1:8" x14ac:dyDescent="0.2">
      <c r="A404" s="2">
        <f>$L$2+SUMPRODUCT($M$2:$Q$2,Training_Data!A404:E404)</f>
        <v>168.38799999999998</v>
      </c>
      <c r="B404" s="2">
        <f t="shared" si="36"/>
        <v>168.38799999999998</v>
      </c>
      <c r="C404" s="2">
        <f t="shared" si="37"/>
        <v>100</v>
      </c>
      <c r="D404" s="2">
        <f t="shared" si="38"/>
        <v>1</v>
      </c>
      <c r="E404" s="2">
        <f t="shared" si="39"/>
        <v>1</v>
      </c>
      <c r="F404" s="2">
        <f t="shared" si="40"/>
        <v>0.99</v>
      </c>
      <c r="G404" s="2">
        <f t="shared" si="41"/>
        <v>1</v>
      </c>
      <c r="H404" s="2">
        <f>IF(G404=Training_Data!F404,1,0)</f>
        <v>0</v>
      </c>
    </row>
    <row r="405" spans="1:8" x14ac:dyDescent="0.2">
      <c r="A405" s="2">
        <f>$L$2+SUMPRODUCT($M$2:$Q$2,Training_Data!A405:E405)</f>
        <v>1864.8480000000002</v>
      </c>
      <c r="B405" s="2">
        <f t="shared" si="36"/>
        <v>1864.8480000000002</v>
      </c>
      <c r="C405" s="2">
        <f t="shared" si="37"/>
        <v>100</v>
      </c>
      <c r="D405" s="2">
        <f t="shared" si="38"/>
        <v>1</v>
      </c>
      <c r="E405" s="2">
        <f t="shared" si="39"/>
        <v>1</v>
      </c>
      <c r="F405" s="2">
        <f t="shared" si="40"/>
        <v>0.99</v>
      </c>
      <c r="G405" s="2">
        <f t="shared" si="41"/>
        <v>1</v>
      </c>
      <c r="H405" s="2">
        <f>IF(G405=Training_Data!F405,1,0)</f>
        <v>0</v>
      </c>
    </row>
    <row r="406" spans="1:8" x14ac:dyDescent="0.2">
      <c r="A406" s="2">
        <f>$L$2+SUMPRODUCT($M$2:$Q$2,Training_Data!A406:E406)</f>
        <v>412.36599999999999</v>
      </c>
      <c r="B406" s="2">
        <f t="shared" si="36"/>
        <v>412.36599999999999</v>
      </c>
      <c r="C406" s="2">
        <f t="shared" si="37"/>
        <v>100</v>
      </c>
      <c r="D406" s="2">
        <f t="shared" si="38"/>
        <v>1</v>
      </c>
      <c r="E406" s="2">
        <f t="shared" si="39"/>
        <v>1</v>
      </c>
      <c r="F406" s="2">
        <f t="shared" si="40"/>
        <v>0.99</v>
      </c>
      <c r="G406" s="2">
        <f t="shared" si="41"/>
        <v>1</v>
      </c>
      <c r="H406" s="2">
        <f>IF(G406=Training_Data!F406,1,0)</f>
        <v>0</v>
      </c>
    </row>
    <row r="407" spans="1:8" x14ac:dyDescent="0.2">
      <c r="A407" s="2">
        <f>$L$2+SUMPRODUCT($M$2:$Q$2,Training_Data!A407:E407)</f>
        <v>253.5</v>
      </c>
      <c r="B407" s="2">
        <f t="shared" si="36"/>
        <v>253.5</v>
      </c>
      <c r="C407" s="2">
        <f t="shared" si="37"/>
        <v>100</v>
      </c>
      <c r="D407" s="2">
        <f t="shared" si="38"/>
        <v>1</v>
      </c>
      <c r="E407" s="2">
        <f t="shared" si="39"/>
        <v>1</v>
      </c>
      <c r="F407" s="2">
        <f t="shared" si="40"/>
        <v>0.99</v>
      </c>
      <c r="G407" s="2">
        <f t="shared" si="41"/>
        <v>1</v>
      </c>
      <c r="H407" s="2">
        <f>IF(G407=Training_Data!F407,1,0)</f>
        <v>0</v>
      </c>
    </row>
    <row r="408" spans="1:8" x14ac:dyDescent="0.2">
      <c r="A408" s="2">
        <f>$L$2+SUMPRODUCT($M$2:$Q$2,Training_Data!A408:E408)</f>
        <v>154.209</v>
      </c>
      <c r="B408" s="2">
        <f t="shared" si="36"/>
        <v>154.209</v>
      </c>
      <c r="C408" s="2">
        <f t="shared" si="37"/>
        <v>100</v>
      </c>
      <c r="D408" s="2">
        <f t="shared" si="38"/>
        <v>1</v>
      </c>
      <c r="E408" s="2">
        <f t="shared" si="39"/>
        <v>1</v>
      </c>
      <c r="F408" s="2">
        <f t="shared" si="40"/>
        <v>0.99</v>
      </c>
      <c r="G408" s="2">
        <f t="shared" si="41"/>
        <v>1</v>
      </c>
      <c r="H408" s="2">
        <f>IF(G408=Training_Data!F408,1,0)</f>
        <v>0</v>
      </c>
    </row>
    <row r="409" spans="1:8" x14ac:dyDescent="0.2">
      <c r="A409" s="2">
        <f>$L$2+SUMPRODUCT($M$2:$Q$2,Training_Data!A409:E409)</f>
        <v>244.12199999999999</v>
      </c>
      <c r="B409" s="2">
        <f t="shared" si="36"/>
        <v>244.12199999999999</v>
      </c>
      <c r="C409" s="2">
        <f t="shared" si="37"/>
        <v>100</v>
      </c>
      <c r="D409" s="2">
        <f t="shared" si="38"/>
        <v>1</v>
      </c>
      <c r="E409" s="2">
        <f t="shared" si="39"/>
        <v>1</v>
      </c>
      <c r="F409" s="2">
        <f t="shared" si="40"/>
        <v>0.99</v>
      </c>
      <c r="G409" s="2">
        <f t="shared" si="41"/>
        <v>1</v>
      </c>
      <c r="H409" s="2">
        <f>IF(G409=Training_Data!F409,1,0)</f>
        <v>0</v>
      </c>
    </row>
    <row r="410" spans="1:8" x14ac:dyDescent="0.2">
      <c r="A410" s="2">
        <f>$L$2+SUMPRODUCT($M$2:$Q$2,Training_Data!A410:E410)</f>
        <v>115.081</v>
      </c>
      <c r="B410" s="2">
        <f t="shared" si="36"/>
        <v>115.081</v>
      </c>
      <c r="C410" s="2">
        <f t="shared" si="37"/>
        <v>100</v>
      </c>
      <c r="D410" s="2">
        <f t="shared" si="38"/>
        <v>1</v>
      </c>
      <c r="E410" s="2">
        <f t="shared" si="39"/>
        <v>1</v>
      </c>
      <c r="F410" s="2">
        <f t="shared" si="40"/>
        <v>0.99</v>
      </c>
      <c r="G410" s="2">
        <f t="shared" si="41"/>
        <v>1</v>
      </c>
      <c r="H410" s="2">
        <f>IF(G410=Training_Data!F410,1,0)</f>
        <v>0</v>
      </c>
    </row>
    <row r="411" spans="1:8" x14ac:dyDescent="0.2">
      <c r="A411" s="2">
        <f>$L$2+SUMPRODUCT($M$2:$Q$2,Training_Data!A411:E411)</f>
        <v>137.85999999999999</v>
      </c>
      <c r="B411" s="2">
        <f t="shared" si="36"/>
        <v>137.85999999999999</v>
      </c>
      <c r="C411" s="2">
        <f t="shared" si="37"/>
        <v>100</v>
      </c>
      <c r="D411" s="2">
        <f t="shared" si="38"/>
        <v>1</v>
      </c>
      <c r="E411" s="2">
        <f t="shared" si="39"/>
        <v>1</v>
      </c>
      <c r="F411" s="2">
        <f t="shared" si="40"/>
        <v>0.99</v>
      </c>
      <c r="G411" s="2">
        <f t="shared" si="41"/>
        <v>1</v>
      </c>
      <c r="H411" s="2">
        <f>IF(G411=Training_Data!F411,1,0)</f>
        <v>0</v>
      </c>
    </row>
    <row r="412" spans="1:8" x14ac:dyDescent="0.2">
      <c r="A412" s="2">
        <f>$L$2+SUMPRODUCT($M$2:$Q$2,Training_Data!A412:E412)</f>
        <v>128.77799999999999</v>
      </c>
      <c r="B412" s="2">
        <f t="shared" si="36"/>
        <v>128.77799999999999</v>
      </c>
      <c r="C412" s="2">
        <f t="shared" si="37"/>
        <v>100</v>
      </c>
      <c r="D412" s="2">
        <f t="shared" si="38"/>
        <v>1</v>
      </c>
      <c r="E412" s="2">
        <f t="shared" si="39"/>
        <v>1</v>
      </c>
      <c r="F412" s="2">
        <f t="shared" si="40"/>
        <v>0.99</v>
      </c>
      <c r="G412" s="2">
        <f t="shared" si="41"/>
        <v>1</v>
      </c>
      <c r="H412" s="2">
        <f>IF(G412=Training_Data!F412,1,0)</f>
        <v>0</v>
      </c>
    </row>
    <row r="413" spans="1:8" x14ac:dyDescent="0.2">
      <c r="A413" s="2">
        <f>$L$2+SUMPRODUCT($M$2:$Q$2,Training_Data!A413:E413)</f>
        <v>378.73499999999996</v>
      </c>
      <c r="B413" s="2">
        <f t="shared" si="36"/>
        <v>378.73499999999996</v>
      </c>
      <c r="C413" s="2">
        <f t="shared" si="37"/>
        <v>100</v>
      </c>
      <c r="D413" s="2">
        <f t="shared" si="38"/>
        <v>1</v>
      </c>
      <c r="E413" s="2">
        <f t="shared" si="39"/>
        <v>1</v>
      </c>
      <c r="F413" s="2">
        <f t="shared" si="40"/>
        <v>0.99</v>
      </c>
      <c r="G413" s="2">
        <f t="shared" si="41"/>
        <v>1</v>
      </c>
      <c r="H413" s="2">
        <f>IF(G413=Training_Data!F413,1,0)</f>
        <v>0</v>
      </c>
    </row>
    <row r="414" spans="1:8" x14ac:dyDescent="0.2">
      <c r="A414" s="2">
        <f>$L$2+SUMPRODUCT($M$2:$Q$2,Training_Data!A414:E414)</f>
        <v>144.85899999999998</v>
      </c>
      <c r="B414" s="2">
        <f t="shared" si="36"/>
        <v>144.85899999999998</v>
      </c>
      <c r="C414" s="2">
        <f t="shared" si="37"/>
        <v>100</v>
      </c>
      <c r="D414" s="2">
        <f t="shared" si="38"/>
        <v>1</v>
      </c>
      <c r="E414" s="2">
        <f t="shared" si="39"/>
        <v>1</v>
      </c>
      <c r="F414" s="2">
        <f t="shared" si="40"/>
        <v>0.99</v>
      </c>
      <c r="G414" s="2">
        <f t="shared" si="41"/>
        <v>1</v>
      </c>
      <c r="H414" s="2">
        <f>IF(G414=Training_Data!F414,1,0)</f>
        <v>0</v>
      </c>
    </row>
    <row r="415" spans="1:8" x14ac:dyDescent="0.2">
      <c r="A415" s="2">
        <f>$L$2+SUMPRODUCT($M$2:$Q$2,Training_Data!A415:E415)</f>
        <v>235.60699999999997</v>
      </c>
      <c r="B415" s="2">
        <f t="shared" si="36"/>
        <v>235.60699999999997</v>
      </c>
      <c r="C415" s="2">
        <f t="shared" si="37"/>
        <v>100</v>
      </c>
      <c r="D415" s="2">
        <f t="shared" si="38"/>
        <v>1</v>
      </c>
      <c r="E415" s="2">
        <f t="shared" si="39"/>
        <v>1</v>
      </c>
      <c r="F415" s="2">
        <f t="shared" si="40"/>
        <v>0.99</v>
      </c>
      <c r="G415" s="2">
        <f t="shared" si="41"/>
        <v>1</v>
      </c>
      <c r="H415" s="2">
        <f>IF(G415=Training_Data!F415,1,0)</f>
        <v>0</v>
      </c>
    </row>
    <row r="416" spans="1:8" x14ac:dyDescent="0.2">
      <c r="A416" s="2">
        <f>$L$2+SUMPRODUCT($M$2:$Q$2,Training_Data!A416:E416)</f>
        <v>209.36799999999999</v>
      </c>
      <c r="B416" s="2">
        <f t="shared" si="36"/>
        <v>209.36799999999999</v>
      </c>
      <c r="C416" s="2">
        <f t="shared" si="37"/>
        <v>100</v>
      </c>
      <c r="D416" s="2">
        <f t="shared" si="38"/>
        <v>1</v>
      </c>
      <c r="E416" s="2">
        <f t="shared" si="39"/>
        <v>1</v>
      </c>
      <c r="F416" s="2">
        <f t="shared" si="40"/>
        <v>0.99</v>
      </c>
      <c r="G416" s="2">
        <f t="shared" si="41"/>
        <v>1</v>
      </c>
      <c r="H416" s="2">
        <f>IF(G416=Training_Data!F416,1,0)</f>
        <v>0</v>
      </c>
    </row>
    <row r="417" spans="1:8" x14ac:dyDescent="0.2">
      <c r="A417" s="2">
        <f>$L$2+SUMPRODUCT($M$2:$Q$2,Training_Data!A417:E417)</f>
        <v>214.15300000000002</v>
      </c>
      <c r="B417" s="2">
        <f t="shared" si="36"/>
        <v>214.15300000000002</v>
      </c>
      <c r="C417" s="2">
        <f t="shared" si="37"/>
        <v>100</v>
      </c>
      <c r="D417" s="2">
        <f t="shared" si="38"/>
        <v>1</v>
      </c>
      <c r="E417" s="2">
        <f t="shared" si="39"/>
        <v>1</v>
      </c>
      <c r="F417" s="2">
        <f t="shared" si="40"/>
        <v>0.99</v>
      </c>
      <c r="G417" s="2">
        <f t="shared" si="41"/>
        <v>1</v>
      </c>
      <c r="H417" s="2">
        <f>IF(G417=Training_Data!F417,1,0)</f>
        <v>0</v>
      </c>
    </row>
    <row r="418" spans="1:8" x14ac:dyDescent="0.2">
      <c r="A418" s="2">
        <f>$L$2+SUMPRODUCT($M$2:$Q$2,Training_Data!A418:E418)</f>
        <v>3584.9320000000002</v>
      </c>
      <c r="B418" s="2">
        <f t="shared" si="36"/>
        <v>3584.9320000000002</v>
      </c>
      <c r="C418" s="2">
        <f t="shared" si="37"/>
        <v>100</v>
      </c>
      <c r="D418" s="2">
        <f t="shared" si="38"/>
        <v>1</v>
      </c>
      <c r="E418" s="2">
        <f t="shared" si="39"/>
        <v>1</v>
      </c>
      <c r="F418" s="2">
        <f t="shared" si="40"/>
        <v>0.99</v>
      </c>
      <c r="G418" s="2">
        <f t="shared" si="41"/>
        <v>1</v>
      </c>
      <c r="H418" s="2">
        <f>IF(G418=Training_Data!F418,1,0)</f>
        <v>0</v>
      </c>
    </row>
    <row r="419" spans="1:8" x14ac:dyDescent="0.2">
      <c r="A419" s="2">
        <f>$L$2+SUMPRODUCT($M$2:$Q$2,Training_Data!A419:E419)</f>
        <v>451.39400000000001</v>
      </c>
      <c r="B419" s="2">
        <f t="shared" si="36"/>
        <v>451.39400000000001</v>
      </c>
      <c r="C419" s="2">
        <f t="shared" si="37"/>
        <v>100</v>
      </c>
      <c r="D419" s="2">
        <f t="shared" si="38"/>
        <v>1</v>
      </c>
      <c r="E419" s="2">
        <f t="shared" si="39"/>
        <v>1</v>
      </c>
      <c r="F419" s="2">
        <f t="shared" si="40"/>
        <v>0.99</v>
      </c>
      <c r="G419" s="2">
        <f t="shared" si="41"/>
        <v>1</v>
      </c>
      <c r="H419" s="2">
        <f>IF(G419=Training_Data!F419,1,0)</f>
        <v>0</v>
      </c>
    </row>
    <row r="420" spans="1:8" x14ac:dyDescent="0.2">
      <c r="A420" s="2">
        <f>$L$2+SUMPRODUCT($M$2:$Q$2,Training_Data!A420:E420)</f>
        <v>245.07499999999999</v>
      </c>
      <c r="B420" s="2">
        <f t="shared" si="36"/>
        <v>245.07499999999999</v>
      </c>
      <c r="C420" s="2">
        <f t="shared" si="37"/>
        <v>100</v>
      </c>
      <c r="D420" s="2">
        <f t="shared" si="38"/>
        <v>1</v>
      </c>
      <c r="E420" s="2">
        <f t="shared" si="39"/>
        <v>1</v>
      </c>
      <c r="F420" s="2">
        <f t="shared" si="40"/>
        <v>0.99</v>
      </c>
      <c r="G420" s="2">
        <f t="shared" si="41"/>
        <v>1</v>
      </c>
      <c r="H420" s="2">
        <f>IF(G420=Training_Data!F420,1,0)</f>
        <v>0</v>
      </c>
    </row>
    <row r="421" spans="1:8" x14ac:dyDescent="0.2">
      <c r="A421" s="2">
        <f>$L$2+SUMPRODUCT($M$2:$Q$2,Training_Data!A421:E421)</f>
        <v>378.28699999999998</v>
      </c>
      <c r="B421" s="2">
        <f t="shared" si="36"/>
        <v>378.28699999999998</v>
      </c>
      <c r="C421" s="2">
        <f t="shared" si="37"/>
        <v>100</v>
      </c>
      <c r="D421" s="2">
        <f t="shared" si="38"/>
        <v>1</v>
      </c>
      <c r="E421" s="2">
        <f t="shared" si="39"/>
        <v>1</v>
      </c>
      <c r="F421" s="2">
        <f t="shared" si="40"/>
        <v>0.99</v>
      </c>
      <c r="G421" s="2">
        <f t="shared" si="41"/>
        <v>1</v>
      </c>
      <c r="H421" s="2">
        <f>IF(G421=Training_Data!F421,1,0)</f>
        <v>0</v>
      </c>
    </row>
    <row r="422" spans="1:8" x14ac:dyDescent="0.2">
      <c r="A422" s="2">
        <f>$L$2+SUMPRODUCT($M$2:$Q$2,Training_Data!A422:E422)</f>
        <v>49.300000000000004</v>
      </c>
      <c r="B422" s="2">
        <f t="shared" si="36"/>
        <v>49.300000000000004</v>
      </c>
      <c r="C422" s="2">
        <f t="shared" si="37"/>
        <v>49.300000000000004</v>
      </c>
      <c r="D422" s="2">
        <f t="shared" si="38"/>
        <v>1</v>
      </c>
      <c r="E422" s="2">
        <f t="shared" si="39"/>
        <v>1</v>
      </c>
      <c r="F422" s="2">
        <f t="shared" si="40"/>
        <v>0.99</v>
      </c>
      <c r="G422" s="2">
        <f t="shared" si="41"/>
        <v>1</v>
      </c>
      <c r="H422" s="2">
        <f>IF(G422=Training_Data!F422,1,0)</f>
        <v>0</v>
      </c>
    </row>
    <row r="423" spans="1:8" x14ac:dyDescent="0.2">
      <c r="A423" s="2">
        <f>$L$2+SUMPRODUCT($M$2:$Q$2,Training_Data!A423:E423)</f>
        <v>2904.165</v>
      </c>
      <c r="B423" s="2">
        <f t="shared" si="36"/>
        <v>2904.165</v>
      </c>
      <c r="C423" s="2">
        <f t="shared" si="37"/>
        <v>100</v>
      </c>
      <c r="D423" s="2">
        <f t="shared" si="38"/>
        <v>1</v>
      </c>
      <c r="E423" s="2">
        <f t="shared" si="39"/>
        <v>1</v>
      </c>
      <c r="F423" s="2">
        <f t="shared" si="40"/>
        <v>0.99</v>
      </c>
      <c r="G423" s="2">
        <f t="shared" si="41"/>
        <v>1</v>
      </c>
      <c r="H423" s="2">
        <f>IF(G423=Training_Data!F423,1,0)</f>
        <v>0</v>
      </c>
    </row>
    <row r="424" spans="1:8" x14ac:dyDescent="0.2">
      <c r="A424" s="2">
        <f>$L$2+SUMPRODUCT($M$2:$Q$2,Training_Data!A424:E424)</f>
        <v>124.06600000000002</v>
      </c>
      <c r="B424" s="2">
        <f t="shared" si="36"/>
        <v>124.06600000000002</v>
      </c>
      <c r="C424" s="2">
        <f t="shared" si="37"/>
        <v>100</v>
      </c>
      <c r="D424" s="2">
        <f t="shared" si="38"/>
        <v>1</v>
      </c>
      <c r="E424" s="2">
        <f t="shared" si="39"/>
        <v>1</v>
      </c>
      <c r="F424" s="2">
        <f t="shared" si="40"/>
        <v>0.99</v>
      </c>
      <c r="G424" s="2">
        <f t="shared" si="41"/>
        <v>1</v>
      </c>
      <c r="H424" s="2">
        <f>IF(G424=Training_Data!F424,1,0)</f>
        <v>0</v>
      </c>
    </row>
    <row r="425" spans="1:8" x14ac:dyDescent="0.2">
      <c r="A425" s="2">
        <f>$L$2+SUMPRODUCT($M$2:$Q$2,Training_Data!A425:E425)</f>
        <v>1062.597</v>
      </c>
      <c r="B425" s="2">
        <f t="shared" si="36"/>
        <v>1062.597</v>
      </c>
      <c r="C425" s="2">
        <f t="shared" si="37"/>
        <v>100</v>
      </c>
      <c r="D425" s="2">
        <f t="shared" si="38"/>
        <v>1</v>
      </c>
      <c r="E425" s="2">
        <f t="shared" si="39"/>
        <v>1</v>
      </c>
      <c r="F425" s="2">
        <f t="shared" si="40"/>
        <v>0.99</v>
      </c>
      <c r="G425" s="2">
        <f t="shared" si="41"/>
        <v>1</v>
      </c>
      <c r="H425" s="2">
        <f>IF(G425=Training_Data!F425,1,0)</f>
        <v>0</v>
      </c>
    </row>
    <row r="426" spans="1:8" x14ac:dyDescent="0.2">
      <c r="A426" s="2">
        <f>$L$2+SUMPRODUCT($M$2:$Q$2,Training_Data!A426:E426)</f>
        <v>219.77199999999999</v>
      </c>
      <c r="B426" s="2">
        <f t="shared" si="36"/>
        <v>219.77199999999999</v>
      </c>
      <c r="C426" s="2">
        <f t="shared" si="37"/>
        <v>100</v>
      </c>
      <c r="D426" s="2">
        <f t="shared" si="38"/>
        <v>1</v>
      </c>
      <c r="E426" s="2">
        <f t="shared" si="39"/>
        <v>1</v>
      </c>
      <c r="F426" s="2">
        <f t="shared" si="40"/>
        <v>0.99</v>
      </c>
      <c r="G426" s="2">
        <f t="shared" si="41"/>
        <v>1</v>
      </c>
      <c r="H426" s="2">
        <f>IF(G426=Training_Data!F426,1,0)</f>
        <v>0</v>
      </c>
    </row>
    <row r="427" spans="1:8" x14ac:dyDescent="0.2">
      <c r="A427" s="2">
        <f>$L$2+SUMPRODUCT($M$2:$Q$2,Training_Data!A427:E427)</f>
        <v>-14.271999999999998</v>
      </c>
      <c r="B427" s="2">
        <f t="shared" si="36"/>
        <v>-14.271999999999998</v>
      </c>
      <c r="C427" s="2">
        <f t="shared" si="37"/>
        <v>-14.271999999999998</v>
      </c>
      <c r="D427" s="2">
        <f t="shared" si="38"/>
        <v>6.3350329654094779E-7</v>
      </c>
      <c r="E427" s="2">
        <f t="shared" si="39"/>
        <v>0.01</v>
      </c>
      <c r="F427" s="2">
        <f t="shared" si="40"/>
        <v>0.01</v>
      </c>
      <c r="G427" s="2">
        <f t="shared" si="41"/>
        <v>0</v>
      </c>
      <c r="H427" s="2">
        <f>IF(G427=Training_Data!F427,1,0)</f>
        <v>1</v>
      </c>
    </row>
    <row r="428" spans="1:8" x14ac:dyDescent="0.2">
      <c r="A428" s="2">
        <f>$L$2+SUMPRODUCT($M$2:$Q$2,Training_Data!A428:E428)</f>
        <v>5.3780000000000019</v>
      </c>
      <c r="B428" s="2">
        <f t="shared" si="36"/>
        <v>5.3780000000000019</v>
      </c>
      <c r="C428" s="2">
        <f t="shared" si="37"/>
        <v>5.3780000000000019</v>
      </c>
      <c r="D428" s="2">
        <f t="shared" si="38"/>
        <v>0.99540417235565515</v>
      </c>
      <c r="E428" s="2">
        <f t="shared" si="39"/>
        <v>0.99540417235565515</v>
      </c>
      <c r="F428" s="2">
        <f t="shared" si="40"/>
        <v>0.99</v>
      </c>
      <c r="G428" s="2">
        <f t="shared" si="41"/>
        <v>1</v>
      </c>
      <c r="H428" s="2">
        <f>IF(G428=Training_Data!F428,1,0)</f>
        <v>0</v>
      </c>
    </row>
    <row r="429" spans="1:8" x14ac:dyDescent="0.2">
      <c r="A429" s="2">
        <f>$L$2+SUMPRODUCT($M$2:$Q$2,Training_Data!A429:E429)</f>
        <v>87.365000000000009</v>
      </c>
      <c r="B429" s="2">
        <f t="shared" si="36"/>
        <v>87.365000000000009</v>
      </c>
      <c r="C429" s="2">
        <f t="shared" si="37"/>
        <v>87.365000000000009</v>
      </c>
      <c r="D429" s="2">
        <f t="shared" si="38"/>
        <v>1</v>
      </c>
      <c r="E429" s="2">
        <f t="shared" si="39"/>
        <v>1</v>
      </c>
      <c r="F429" s="2">
        <f t="shared" si="40"/>
        <v>0.99</v>
      </c>
      <c r="G429" s="2">
        <f t="shared" si="41"/>
        <v>1</v>
      </c>
      <c r="H429" s="2">
        <f>IF(G429=Training_Data!F429,1,0)</f>
        <v>0</v>
      </c>
    </row>
    <row r="430" spans="1:8" x14ac:dyDescent="0.2">
      <c r="A430" s="2">
        <f>$L$2+SUMPRODUCT($M$2:$Q$2,Training_Data!A430:E430)</f>
        <v>331.84699999999998</v>
      </c>
      <c r="B430" s="2">
        <f t="shared" si="36"/>
        <v>331.84699999999998</v>
      </c>
      <c r="C430" s="2">
        <f t="shared" si="37"/>
        <v>100</v>
      </c>
      <c r="D430" s="2">
        <f t="shared" si="38"/>
        <v>1</v>
      </c>
      <c r="E430" s="2">
        <f t="shared" si="39"/>
        <v>1</v>
      </c>
      <c r="F430" s="2">
        <f t="shared" si="40"/>
        <v>0.99</v>
      </c>
      <c r="G430" s="2">
        <f t="shared" si="41"/>
        <v>1</v>
      </c>
      <c r="H430" s="2">
        <f>IF(G430=Training_Data!F430,1,0)</f>
        <v>0</v>
      </c>
    </row>
    <row r="431" spans="1:8" x14ac:dyDescent="0.2">
      <c r="A431" s="2">
        <f>$L$2+SUMPRODUCT($M$2:$Q$2,Training_Data!A431:E431)</f>
        <v>100.59699999999999</v>
      </c>
      <c r="B431" s="2">
        <f t="shared" si="36"/>
        <v>100.59699999999999</v>
      </c>
      <c r="C431" s="2">
        <f t="shared" si="37"/>
        <v>100</v>
      </c>
      <c r="D431" s="2">
        <f t="shared" si="38"/>
        <v>1</v>
      </c>
      <c r="E431" s="2">
        <f t="shared" si="39"/>
        <v>1</v>
      </c>
      <c r="F431" s="2">
        <f t="shared" si="40"/>
        <v>0.99</v>
      </c>
      <c r="G431" s="2">
        <f t="shared" si="41"/>
        <v>1</v>
      </c>
      <c r="H431" s="2">
        <f>IF(G431=Training_Data!F431,1,0)</f>
        <v>0</v>
      </c>
    </row>
    <row r="432" spans="1:8" x14ac:dyDescent="0.2">
      <c r="A432" s="2">
        <f>$L$2+SUMPRODUCT($M$2:$Q$2,Training_Data!A432:E432)</f>
        <v>162.02199999999999</v>
      </c>
      <c r="B432" s="2">
        <f t="shared" si="36"/>
        <v>162.02199999999999</v>
      </c>
      <c r="C432" s="2">
        <f t="shared" si="37"/>
        <v>100</v>
      </c>
      <c r="D432" s="2">
        <f t="shared" si="38"/>
        <v>1</v>
      </c>
      <c r="E432" s="2">
        <f t="shared" si="39"/>
        <v>1</v>
      </c>
      <c r="F432" s="2">
        <f t="shared" si="40"/>
        <v>0.99</v>
      </c>
      <c r="G432" s="2">
        <f t="shared" si="41"/>
        <v>1</v>
      </c>
      <c r="H432" s="2">
        <f>IF(G432=Training_Data!F432,1,0)</f>
        <v>0</v>
      </c>
    </row>
    <row r="433" spans="1:8" x14ac:dyDescent="0.2">
      <c r="A433" s="2">
        <f>$L$2+SUMPRODUCT($M$2:$Q$2,Training_Data!A433:E433)</f>
        <v>428.96600000000001</v>
      </c>
      <c r="B433" s="2">
        <f t="shared" si="36"/>
        <v>428.96600000000001</v>
      </c>
      <c r="C433" s="2">
        <f t="shared" si="37"/>
        <v>100</v>
      </c>
      <c r="D433" s="2">
        <f t="shared" si="38"/>
        <v>1</v>
      </c>
      <c r="E433" s="2">
        <f t="shared" si="39"/>
        <v>1</v>
      </c>
      <c r="F433" s="2">
        <f t="shared" si="40"/>
        <v>0.99</v>
      </c>
      <c r="G433" s="2">
        <f t="shared" si="41"/>
        <v>1</v>
      </c>
      <c r="H433" s="2">
        <f>IF(G433=Training_Data!F433,1,0)</f>
        <v>0</v>
      </c>
    </row>
    <row r="434" spans="1:8" x14ac:dyDescent="0.2">
      <c r="A434" s="2">
        <f>$L$2+SUMPRODUCT($M$2:$Q$2,Training_Data!A434:E434)</f>
        <v>164.65</v>
      </c>
      <c r="B434" s="2">
        <f t="shared" si="36"/>
        <v>164.65</v>
      </c>
      <c r="C434" s="2">
        <f t="shared" si="37"/>
        <v>100</v>
      </c>
      <c r="D434" s="2">
        <f t="shared" si="38"/>
        <v>1</v>
      </c>
      <c r="E434" s="2">
        <f t="shared" si="39"/>
        <v>1</v>
      </c>
      <c r="F434" s="2">
        <f t="shared" si="40"/>
        <v>0.99</v>
      </c>
      <c r="G434" s="2">
        <f t="shared" si="41"/>
        <v>1</v>
      </c>
      <c r="H434" s="2">
        <f>IF(G434=Training_Data!F434,1,0)</f>
        <v>0</v>
      </c>
    </row>
    <row r="435" spans="1:8" x14ac:dyDescent="0.2">
      <c r="A435" s="2">
        <f>$L$2+SUMPRODUCT($M$2:$Q$2,Training_Data!A435:E435)</f>
        <v>3.0000000000000022</v>
      </c>
      <c r="B435" s="2">
        <f t="shared" si="36"/>
        <v>3.0000000000000022</v>
      </c>
      <c r="C435" s="2">
        <f t="shared" si="37"/>
        <v>3.0000000000000022</v>
      </c>
      <c r="D435" s="2">
        <f t="shared" si="38"/>
        <v>0.95257412682243336</v>
      </c>
      <c r="E435" s="2">
        <f t="shared" si="39"/>
        <v>0.95257412682243336</v>
      </c>
      <c r="F435" s="2">
        <f t="shared" si="40"/>
        <v>0.95257412682243336</v>
      </c>
      <c r="G435" s="2">
        <f t="shared" si="41"/>
        <v>1</v>
      </c>
      <c r="H435" s="2">
        <f>IF(G435=Training_Data!F435,1,0)</f>
        <v>0</v>
      </c>
    </row>
    <row r="436" spans="1:8" x14ac:dyDescent="0.2">
      <c r="A436" s="2">
        <f>$L$2+SUMPRODUCT($M$2:$Q$2,Training_Data!A436:E436)</f>
        <v>986.62500000000011</v>
      </c>
      <c r="B436" s="2">
        <f t="shared" si="36"/>
        <v>986.62500000000011</v>
      </c>
      <c r="C436" s="2">
        <f t="shared" si="37"/>
        <v>100</v>
      </c>
      <c r="D436" s="2">
        <f t="shared" si="38"/>
        <v>1</v>
      </c>
      <c r="E436" s="2">
        <f t="shared" si="39"/>
        <v>1</v>
      </c>
      <c r="F436" s="2">
        <f t="shared" si="40"/>
        <v>0.99</v>
      </c>
      <c r="G436" s="2">
        <f t="shared" si="41"/>
        <v>1</v>
      </c>
      <c r="H436" s="2">
        <f>IF(G436=Training_Data!F436,1,0)</f>
        <v>0</v>
      </c>
    </row>
    <row r="437" spans="1:8" x14ac:dyDescent="0.2">
      <c r="A437" s="2">
        <f>$L$2+SUMPRODUCT($M$2:$Q$2,Training_Data!A437:E437)</f>
        <v>737.7</v>
      </c>
      <c r="B437" s="2">
        <f t="shared" si="36"/>
        <v>737.7</v>
      </c>
      <c r="C437" s="2">
        <f t="shared" si="37"/>
        <v>100</v>
      </c>
      <c r="D437" s="2">
        <f t="shared" si="38"/>
        <v>1</v>
      </c>
      <c r="E437" s="2">
        <f t="shared" si="39"/>
        <v>1</v>
      </c>
      <c r="F437" s="2">
        <f t="shared" si="40"/>
        <v>0.99</v>
      </c>
      <c r="G437" s="2">
        <f t="shared" si="41"/>
        <v>1</v>
      </c>
      <c r="H437" s="2">
        <f>IF(G437=Training_Data!F437,1,0)</f>
        <v>0</v>
      </c>
    </row>
    <row r="438" spans="1:8" x14ac:dyDescent="0.2">
      <c r="A438" s="2">
        <f>$L$2+SUMPRODUCT($M$2:$Q$2,Training_Data!A438:E438)</f>
        <v>369.83799999999997</v>
      </c>
      <c r="B438" s="2">
        <f t="shared" si="36"/>
        <v>369.83799999999997</v>
      </c>
      <c r="C438" s="2">
        <f t="shared" si="37"/>
        <v>100</v>
      </c>
      <c r="D438" s="2">
        <f t="shared" si="38"/>
        <v>1</v>
      </c>
      <c r="E438" s="2">
        <f t="shared" si="39"/>
        <v>1</v>
      </c>
      <c r="F438" s="2">
        <f t="shared" si="40"/>
        <v>0.99</v>
      </c>
      <c r="G438" s="2">
        <f t="shared" si="41"/>
        <v>1</v>
      </c>
      <c r="H438" s="2">
        <f>IF(G438=Training_Data!F438,1,0)</f>
        <v>0</v>
      </c>
    </row>
    <row r="439" spans="1:8" x14ac:dyDescent="0.2">
      <c r="A439" s="2">
        <f>$L$2+SUMPRODUCT($M$2:$Q$2,Training_Data!A439:E439)</f>
        <v>1087.5720000000001</v>
      </c>
      <c r="B439" s="2">
        <f t="shared" si="36"/>
        <v>1087.5720000000001</v>
      </c>
      <c r="C439" s="2">
        <f t="shared" si="37"/>
        <v>100</v>
      </c>
      <c r="D439" s="2">
        <f t="shared" si="38"/>
        <v>1</v>
      </c>
      <c r="E439" s="2">
        <f t="shared" si="39"/>
        <v>1</v>
      </c>
      <c r="F439" s="2">
        <f t="shared" si="40"/>
        <v>0.99</v>
      </c>
      <c r="G439" s="2">
        <f t="shared" si="41"/>
        <v>1</v>
      </c>
      <c r="H439" s="2">
        <f>IF(G439=Training_Data!F439,1,0)</f>
        <v>0</v>
      </c>
    </row>
    <row r="440" spans="1:8" x14ac:dyDescent="0.2">
      <c r="A440" s="2">
        <f>$L$2+SUMPRODUCT($M$2:$Q$2,Training_Data!A440:E440)</f>
        <v>11794.575000000003</v>
      </c>
      <c r="B440" s="2">
        <f t="shared" si="36"/>
        <v>11794.575000000003</v>
      </c>
      <c r="C440" s="2">
        <f t="shared" si="37"/>
        <v>100</v>
      </c>
      <c r="D440" s="2">
        <f t="shared" si="38"/>
        <v>1</v>
      </c>
      <c r="E440" s="2">
        <f t="shared" si="39"/>
        <v>1</v>
      </c>
      <c r="F440" s="2">
        <f t="shared" si="40"/>
        <v>0.99</v>
      </c>
      <c r="G440" s="2">
        <f t="shared" si="41"/>
        <v>1</v>
      </c>
      <c r="H440" s="2">
        <f>IF(G440=Training_Data!F440,1,0)</f>
        <v>0</v>
      </c>
    </row>
    <row r="441" spans="1:8" x14ac:dyDescent="0.2">
      <c r="A441" s="2">
        <f>$L$2+SUMPRODUCT($M$2:$Q$2,Training_Data!A441:E441)</f>
        <v>291.71899999999999</v>
      </c>
      <c r="B441" s="2">
        <f t="shared" si="36"/>
        <v>291.71899999999999</v>
      </c>
      <c r="C441" s="2">
        <f t="shared" si="37"/>
        <v>100</v>
      </c>
      <c r="D441" s="2">
        <f t="shared" si="38"/>
        <v>1</v>
      </c>
      <c r="E441" s="2">
        <f t="shared" si="39"/>
        <v>1</v>
      </c>
      <c r="F441" s="2">
        <f t="shared" si="40"/>
        <v>0.99</v>
      </c>
      <c r="G441" s="2">
        <f t="shared" si="41"/>
        <v>1</v>
      </c>
      <c r="H441" s="2">
        <f>IF(G441=Training_Data!F441,1,0)</f>
        <v>0</v>
      </c>
    </row>
    <row r="442" spans="1:8" x14ac:dyDescent="0.2">
      <c r="A442" s="2">
        <f>$L$2+SUMPRODUCT($M$2:$Q$2,Training_Data!A442:E442)</f>
        <v>2464.6469999999999</v>
      </c>
      <c r="B442" s="2">
        <f t="shared" si="36"/>
        <v>2464.6469999999999</v>
      </c>
      <c r="C442" s="2">
        <f t="shared" si="37"/>
        <v>100</v>
      </c>
      <c r="D442" s="2">
        <f t="shared" si="38"/>
        <v>1</v>
      </c>
      <c r="E442" s="2">
        <f t="shared" si="39"/>
        <v>1</v>
      </c>
      <c r="F442" s="2">
        <f t="shared" si="40"/>
        <v>0.99</v>
      </c>
      <c r="G442" s="2">
        <f t="shared" si="41"/>
        <v>1</v>
      </c>
      <c r="H442" s="2">
        <f>IF(G442=Training_Data!F442,1,0)</f>
        <v>0</v>
      </c>
    </row>
    <row r="443" spans="1:8" x14ac:dyDescent="0.2">
      <c r="A443" s="2">
        <f>$L$2+SUMPRODUCT($M$2:$Q$2,Training_Data!A443:E443)</f>
        <v>192.935</v>
      </c>
      <c r="B443" s="2">
        <f t="shared" si="36"/>
        <v>192.935</v>
      </c>
      <c r="C443" s="2">
        <f t="shared" si="37"/>
        <v>100</v>
      </c>
      <c r="D443" s="2">
        <f t="shared" si="38"/>
        <v>1</v>
      </c>
      <c r="E443" s="2">
        <f t="shared" si="39"/>
        <v>1</v>
      </c>
      <c r="F443" s="2">
        <f t="shared" si="40"/>
        <v>0.99</v>
      </c>
      <c r="G443" s="2">
        <f t="shared" si="41"/>
        <v>1</v>
      </c>
      <c r="H443" s="2">
        <f>IF(G443=Training_Data!F443,1,0)</f>
        <v>0</v>
      </c>
    </row>
    <row r="444" spans="1:8" x14ac:dyDescent="0.2">
      <c r="A444" s="2">
        <f>$L$2+SUMPRODUCT($M$2:$Q$2,Training_Data!A444:E444)</f>
        <v>143.96299999999999</v>
      </c>
      <c r="B444" s="2">
        <f t="shared" si="36"/>
        <v>143.96299999999999</v>
      </c>
      <c r="C444" s="2">
        <f t="shared" si="37"/>
        <v>100</v>
      </c>
      <c r="D444" s="2">
        <f t="shared" si="38"/>
        <v>1</v>
      </c>
      <c r="E444" s="2">
        <f t="shared" si="39"/>
        <v>1</v>
      </c>
      <c r="F444" s="2">
        <f t="shared" si="40"/>
        <v>0.99</v>
      </c>
      <c r="G444" s="2">
        <f t="shared" si="41"/>
        <v>1</v>
      </c>
      <c r="H444" s="2">
        <f>IF(G444=Training_Data!F444,1,0)</f>
        <v>0</v>
      </c>
    </row>
    <row r="445" spans="1:8" x14ac:dyDescent="0.2">
      <c r="A445" s="2">
        <f>$L$2+SUMPRODUCT($M$2:$Q$2,Training_Data!A445:E445)</f>
        <v>6555.3059999999996</v>
      </c>
      <c r="B445" s="2">
        <f t="shared" si="36"/>
        <v>6555.3059999999996</v>
      </c>
      <c r="C445" s="2">
        <f t="shared" si="37"/>
        <v>100</v>
      </c>
      <c r="D445" s="2">
        <f t="shared" si="38"/>
        <v>1</v>
      </c>
      <c r="E445" s="2">
        <f t="shared" si="39"/>
        <v>1</v>
      </c>
      <c r="F445" s="2">
        <f t="shared" si="40"/>
        <v>0.99</v>
      </c>
      <c r="G445" s="2">
        <f t="shared" si="41"/>
        <v>1</v>
      </c>
      <c r="H445" s="2">
        <f>IF(G445=Training_Data!F445,1,0)</f>
        <v>0</v>
      </c>
    </row>
    <row r="446" spans="1:8" x14ac:dyDescent="0.2">
      <c r="A446" s="2">
        <f>$L$2+SUMPRODUCT($M$2:$Q$2,Training_Data!A446:E446)</f>
        <v>454.29699999999997</v>
      </c>
      <c r="B446" s="2">
        <f t="shared" si="36"/>
        <v>454.29699999999997</v>
      </c>
      <c r="C446" s="2">
        <f t="shared" si="37"/>
        <v>100</v>
      </c>
      <c r="D446" s="2">
        <f t="shared" si="38"/>
        <v>1</v>
      </c>
      <c r="E446" s="2">
        <f t="shared" si="39"/>
        <v>1</v>
      </c>
      <c r="F446" s="2">
        <f t="shared" si="40"/>
        <v>0.99</v>
      </c>
      <c r="G446" s="2">
        <f t="shared" si="41"/>
        <v>1</v>
      </c>
      <c r="H446" s="2">
        <f>IF(G446=Training_Data!F446,1,0)</f>
        <v>0</v>
      </c>
    </row>
    <row r="447" spans="1:8" x14ac:dyDescent="0.2">
      <c r="A447" s="2">
        <f>$L$2+SUMPRODUCT($M$2:$Q$2,Training_Data!A447:E447)</f>
        <v>290.01600000000002</v>
      </c>
      <c r="B447" s="2">
        <f t="shared" si="36"/>
        <v>290.01600000000002</v>
      </c>
      <c r="C447" s="2">
        <f t="shared" si="37"/>
        <v>100</v>
      </c>
      <c r="D447" s="2">
        <f t="shared" si="38"/>
        <v>1</v>
      </c>
      <c r="E447" s="2">
        <f t="shared" si="39"/>
        <v>1</v>
      </c>
      <c r="F447" s="2">
        <f t="shared" si="40"/>
        <v>0.99</v>
      </c>
      <c r="G447" s="2">
        <f t="shared" si="41"/>
        <v>1</v>
      </c>
      <c r="H447" s="2">
        <f>IF(G447=Training_Data!F447,1,0)</f>
        <v>0</v>
      </c>
    </row>
    <row r="448" spans="1:8" x14ac:dyDescent="0.2">
      <c r="A448" s="2">
        <f>$L$2+SUMPRODUCT($M$2:$Q$2,Training_Data!A448:E448)</f>
        <v>417.637</v>
      </c>
      <c r="B448" s="2">
        <f t="shared" si="36"/>
        <v>417.637</v>
      </c>
      <c r="C448" s="2">
        <f t="shared" si="37"/>
        <v>100</v>
      </c>
      <c r="D448" s="2">
        <f t="shared" si="38"/>
        <v>1</v>
      </c>
      <c r="E448" s="2">
        <f t="shared" si="39"/>
        <v>1</v>
      </c>
      <c r="F448" s="2">
        <f t="shared" si="40"/>
        <v>0.99</v>
      </c>
      <c r="G448" s="2">
        <f t="shared" si="41"/>
        <v>1</v>
      </c>
      <c r="H448" s="2">
        <f>IF(G448=Training_Data!F448,1,0)</f>
        <v>0</v>
      </c>
    </row>
    <row r="449" spans="1:8" x14ac:dyDescent="0.2">
      <c r="A449" s="2">
        <f>$L$2+SUMPRODUCT($M$2:$Q$2,Training_Data!A449:E449)</f>
        <v>387.5</v>
      </c>
      <c r="B449" s="2">
        <f t="shared" si="36"/>
        <v>387.5</v>
      </c>
      <c r="C449" s="2">
        <f t="shared" si="37"/>
        <v>100</v>
      </c>
      <c r="D449" s="2">
        <f t="shared" si="38"/>
        <v>1</v>
      </c>
      <c r="E449" s="2">
        <f t="shared" si="39"/>
        <v>1</v>
      </c>
      <c r="F449" s="2">
        <f t="shared" si="40"/>
        <v>0.99</v>
      </c>
      <c r="G449" s="2">
        <f t="shared" si="41"/>
        <v>1</v>
      </c>
      <c r="H449" s="2">
        <f>IF(G449=Training_Data!F449,1,0)</f>
        <v>0</v>
      </c>
    </row>
    <row r="450" spans="1:8" x14ac:dyDescent="0.2">
      <c r="A450" s="2">
        <f>$L$2+SUMPRODUCT($M$2:$Q$2,Training_Data!A450:E450)</f>
        <v>327.21499999999997</v>
      </c>
      <c r="B450" s="2">
        <f t="shared" si="36"/>
        <v>327.21499999999997</v>
      </c>
      <c r="C450" s="2">
        <f t="shared" si="37"/>
        <v>100</v>
      </c>
      <c r="D450" s="2">
        <f t="shared" si="38"/>
        <v>1</v>
      </c>
      <c r="E450" s="2">
        <f t="shared" si="39"/>
        <v>1</v>
      </c>
      <c r="F450" s="2">
        <f t="shared" si="40"/>
        <v>0.99</v>
      </c>
      <c r="G450" s="2">
        <f t="shared" si="41"/>
        <v>1</v>
      </c>
      <c r="H450" s="2">
        <f>IF(G450=Training_Data!F450,1,0)</f>
        <v>0</v>
      </c>
    </row>
    <row r="451" spans="1:8" x14ac:dyDescent="0.2">
      <c r="A451" s="2">
        <f>$L$2+SUMPRODUCT($M$2:$Q$2,Training_Data!A451:E451)</f>
        <v>86.019000000000005</v>
      </c>
      <c r="B451" s="2">
        <f t="shared" ref="B451:B514" si="42">IF(A451&lt;-100,-100,A451)</f>
        <v>86.019000000000005</v>
      </c>
      <c r="C451" s="2">
        <f t="shared" ref="C451:C514" si="43">IF(B451&gt;100,100,B451)</f>
        <v>86.019000000000005</v>
      </c>
      <c r="D451" s="2">
        <f t="shared" ref="D451:D514" si="44">1/(1+EXP(-C451))</f>
        <v>1</v>
      </c>
      <c r="E451" s="2">
        <f t="shared" ref="E451:E514" si="45">IF(D451&lt;0.01,0.01,D451)</f>
        <v>1</v>
      </c>
      <c r="F451" s="2">
        <f t="shared" ref="F451:F514" si="46">IF(E451&gt;0.99,0.99, E451)</f>
        <v>0.99</v>
      </c>
      <c r="G451" s="2">
        <f t="shared" ref="G451:G514" si="47">IF(F451&gt;0.5,1,0)</f>
        <v>1</v>
      </c>
      <c r="H451" s="2">
        <f>IF(G451=Training_Data!F451,1,0)</f>
        <v>0</v>
      </c>
    </row>
    <row r="452" spans="1:8" x14ac:dyDescent="0.2">
      <c r="A452" s="2">
        <f>$L$2+SUMPRODUCT($M$2:$Q$2,Training_Data!A452:E452)</f>
        <v>225.315</v>
      </c>
      <c r="B452" s="2">
        <f t="shared" si="42"/>
        <v>225.315</v>
      </c>
      <c r="C452" s="2">
        <f t="shared" si="43"/>
        <v>100</v>
      </c>
      <c r="D452" s="2">
        <f t="shared" si="44"/>
        <v>1</v>
      </c>
      <c r="E452" s="2">
        <f t="shared" si="45"/>
        <v>1</v>
      </c>
      <c r="F452" s="2">
        <f t="shared" si="46"/>
        <v>0.99</v>
      </c>
      <c r="G452" s="2">
        <f t="shared" si="47"/>
        <v>1</v>
      </c>
      <c r="H452" s="2">
        <f>IF(G452=Training_Data!F452,1,0)</f>
        <v>0</v>
      </c>
    </row>
    <row r="453" spans="1:8" x14ac:dyDescent="0.2">
      <c r="A453" s="2">
        <f>$L$2+SUMPRODUCT($M$2:$Q$2,Training_Data!A453:E453)</f>
        <v>155.73699999999999</v>
      </c>
      <c r="B453" s="2">
        <f t="shared" si="42"/>
        <v>155.73699999999999</v>
      </c>
      <c r="C453" s="2">
        <f t="shared" si="43"/>
        <v>100</v>
      </c>
      <c r="D453" s="2">
        <f t="shared" si="44"/>
        <v>1</v>
      </c>
      <c r="E453" s="2">
        <f t="shared" si="45"/>
        <v>1</v>
      </c>
      <c r="F453" s="2">
        <f t="shared" si="46"/>
        <v>0.99</v>
      </c>
      <c r="G453" s="2">
        <f t="shared" si="47"/>
        <v>1</v>
      </c>
      <c r="H453" s="2">
        <f>IF(G453=Training_Data!F453,1,0)</f>
        <v>0</v>
      </c>
    </row>
    <row r="454" spans="1:8" x14ac:dyDescent="0.2">
      <c r="A454" s="2">
        <f>$L$2+SUMPRODUCT($M$2:$Q$2,Training_Data!A454:E454)</f>
        <v>442.78800000000001</v>
      </c>
      <c r="B454" s="2">
        <f t="shared" si="42"/>
        <v>442.78800000000001</v>
      </c>
      <c r="C454" s="2">
        <f t="shared" si="43"/>
        <v>100</v>
      </c>
      <c r="D454" s="2">
        <f t="shared" si="44"/>
        <v>1</v>
      </c>
      <c r="E454" s="2">
        <f t="shared" si="45"/>
        <v>1</v>
      </c>
      <c r="F454" s="2">
        <f t="shared" si="46"/>
        <v>0.99</v>
      </c>
      <c r="G454" s="2">
        <f t="shared" si="47"/>
        <v>1</v>
      </c>
      <c r="H454" s="2">
        <f>IF(G454=Training_Data!F454,1,0)</f>
        <v>0</v>
      </c>
    </row>
    <row r="455" spans="1:8" x14ac:dyDescent="0.2">
      <c r="A455" s="2">
        <f>$L$2+SUMPRODUCT($M$2:$Q$2,Training_Data!A455:E455)</f>
        <v>496.875</v>
      </c>
      <c r="B455" s="2">
        <f t="shared" si="42"/>
        <v>496.875</v>
      </c>
      <c r="C455" s="2">
        <f t="shared" si="43"/>
        <v>100</v>
      </c>
      <c r="D455" s="2">
        <f t="shared" si="44"/>
        <v>1</v>
      </c>
      <c r="E455" s="2">
        <f t="shared" si="45"/>
        <v>1</v>
      </c>
      <c r="F455" s="2">
        <f t="shared" si="46"/>
        <v>0.99</v>
      </c>
      <c r="G455" s="2">
        <f t="shared" si="47"/>
        <v>1</v>
      </c>
      <c r="H455" s="2">
        <f>IF(G455=Training_Data!F455,1,0)</f>
        <v>0</v>
      </c>
    </row>
    <row r="456" spans="1:8" x14ac:dyDescent="0.2">
      <c r="A456" s="2">
        <f>$L$2+SUMPRODUCT($M$2:$Q$2,Training_Data!A456:E456)</f>
        <v>401.54699999999997</v>
      </c>
      <c r="B456" s="2">
        <f t="shared" si="42"/>
        <v>401.54699999999997</v>
      </c>
      <c r="C456" s="2">
        <f t="shared" si="43"/>
        <v>100</v>
      </c>
      <c r="D456" s="2">
        <f t="shared" si="44"/>
        <v>1</v>
      </c>
      <c r="E456" s="2">
        <f t="shared" si="45"/>
        <v>1</v>
      </c>
      <c r="F456" s="2">
        <f t="shared" si="46"/>
        <v>0.99</v>
      </c>
      <c r="G456" s="2">
        <f t="shared" si="47"/>
        <v>1</v>
      </c>
      <c r="H456" s="2">
        <f>IF(G456=Training_Data!F456,1,0)</f>
        <v>0</v>
      </c>
    </row>
    <row r="457" spans="1:8" x14ac:dyDescent="0.2">
      <c r="A457" s="2">
        <f>$L$2+SUMPRODUCT($M$2:$Q$2,Training_Data!A457:E457)</f>
        <v>3666.0469999999996</v>
      </c>
      <c r="B457" s="2">
        <f t="shared" si="42"/>
        <v>3666.0469999999996</v>
      </c>
      <c r="C457" s="2">
        <f t="shared" si="43"/>
        <v>100</v>
      </c>
      <c r="D457" s="2">
        <f t="shared" si="44"/>
        <v>1</v>
      </c>
      <c r="E457" s="2">
        <f t="shared" si="45"/>
        <v>1</v>
      </c>
      <c r="F457" s="2">
        <f t="shared" si="46"/>
        <v>0.99</v>
      </c>
      <c r="G457" s="2">
        <f t="shared" si="47"/>
        <v>1</v>
      </c>
      <c r="H457" s="2">
        <f>IF(G457=Training_Data!F457,1,0)</f>
        <v>0</v>
      </c>
    </row>
    <row r="458" spans="1:8" x14ac:dyDescent="0.2">
      <c r="A458" s="2">
        <f>$L$2+SUMPRODUCT($M$2:$Q$2,Training_Data!A458:E458)</f>
        <v>128.035</v>
      </c>
      <c r="B458" s="2">
        <f t="shared" si="42"/>
        <v>128.035</v>
      </c>
      <c r="C458" s="2">
        <f t="shared" si="43"/>
        <v>100</v>
      </c>
      <c r="D458" s="2">
        <f t="shared" si="44"/>
        <v>1</v>
      </c>
      <c r="E458" s="2">
        <f t="shared" si="45"/>
        <v>1</v>
      </c>
      <c r="F458" s="2">
        <f t="shared" si="46"/>
        <v>0.99</v>
      </c>
      <c r="G458" s="2">
        <f t="shared" si="47"/>
        <v>1</v>
      </c>
      <c r="H458" s="2">
        <f>IF(G458=Training_Data!F458,1,0)</f>
        <v>0</v>
      </c>
    </row>
    <row r="459" spans="1:8" x14ac:dyDescent="0.2">
      <c r="A459" s="2">
        <f>$L$2+SUMPRODUCT($M$2:$Q$2,Training_Data!A459:E459)</f>
        <v>90.375000000000014</v>
      </c>
      <c r="B459" s="2">
        <f t="shared" si="42"/>
        <v>90.375000000000014</v>
      </c>
      <c r="C459" s="2">
        <f t="shared" si="43"/>
        <v>90.375000000000014</v>
      </c>
      <c r="D459" s="2">
        <f t="shared" si="44"/>
        <v>1</v>
      </c>
      <c r="E459" s="2">
        <f t="shared" si="45"/>
        <v>1</v>
      </c>
      <c r="F459" s="2">
        <f t="shared" si="46"/>
        <v>0.99</v>
      </c>
      <c r="G459" s="2">
        <f t="shared" si="47"/>
        <v>1</v>
      </c>
      <c r="H459" s="2">
        <f>IF(G459=Training_Data!F459,1,0)</f>
        <v>0</v>
      </c>
    </row>
    <row r="460" spans="1:8" x14ac:dyDescent="0.2">
      <c r="A460" s="2">
        <f>$L$2+SUMPRODUCT($M$2:$Q$2,Training_Data!A460:E460)</f>
        <v>287.46800000000002</v>
      </c>
      <c r="B460" s="2">
        <f t="shared" si="42"/>
        <v>287.46800000000002</v>
      </c>
      <c r="C460" s="2">
        <f t="shared" si="43"/>
        <v>100</v>
      </c>
      <c r="D460" s="2">
        <f t="shared" si="44"/>
        <v>1</v>
      </c>
      <c r="E460" s="2">
        <f t="shared" si="45"/>
        <v>1</v>
      </c>
      <c r="F460" s="2">
        <f t="shared" si="46"/>
        <v>0.99</v>
      </c>
      <c r="G460" s="2">
        <f t="shared" si="47"/>
        <v>1</v>
      </c>
      <c r="H460" s="2">
        <f>IF(G460=Training_Data!F460,1,0)</f>
        <v>0</v>
      </c>
    </row>
    <row r="461" spans="1:8" x14ac:dyDescent="0.2">
      <c r="A461" s="2">
        <f>$L$2+SUMPRODUCT($M$2:$Q$2,Training_Data!A461:E461)</f>
        <v>252.947</v>
      </c>
      <c r="B461" s="2">
        <f t="shared" si="42"/>
        <v>252.947</v>
      </c>
      <c r="C461" s="2">
        <f t="shared" si="43"/>
        <v>100</v>
      </c>
      <c r="D461" s="2">
        <f t="shared" si="44"/>
        <v>1</v>
      </c>
      <c r="E461" s="2">
        <f t="shared" si="45"/>
        <v>1</v>
      </c>
      <c r="F461" s="2">
        <f t="shared" si="46"/>
        <v>0.99</v>
      </c>
      <c r="G461" s="2">
        <f t="shared" si="47"/>
        <v>1</v>
      </c>
      <c r="H461" s="2">
        <f>IF(G461=Training_Data!F461,1,0)</f>
        <v>0</v>
      </c>
    </row>
    <row r="462" spans="1:8" x14ac:dyDescent="0.2">
      <c r="A462" s="2">
        <f>$L$2+SUMPRODUCT($M$2:$Q$2,Training_Data!A462:E462)</f>
        <v>10.271999999999998</v>
      </c>
      <c r="B462" s="2">
        <f t="shared" si="42"/>
        <v>10.271999999999998</v>
      </c>
      <c r="C462" s="2">
        <f t="shared" si="43"/>
        <v>10.271999999999998</v>
      </c>
      <c r="D462" s="2">
        <f t="shared" si="44"/>
        <v>0.99996541306635456</v>
      </c>
      <c r="E462" s="2">
        <f t="shared" si="45"/>
        <v>0.99996541306635456</v>
      </c>
      <c r="F462" s="2">
        <f t="shared" si="46"/>
        <v>0.99</v>
      </c>
      <c r="G462" s="2">
        <f t="shared" si="47"/>
        <v>1</v>
      </c>
      <c r="H462" s="2">
        <f>IF(G462=Training_Data!F462,1,0)</f>
        <v>0</v>
      </c>
    </row>
    <row r="463" spans="1:8" x14ac:dyDescent="0.2">
      <c r="A463" s="2">
        <f>$L$2+SUMPRODUCT($M$2:$Q$2,Training_Data!A463:E463)</f>
        <v>90.965000000000003</v>
      </c>
      <c r="B463" s="2">
        <f t="shared" si="42"/>
        <v>90.965000000000003</v>
      </c>
      <c r="C463" s="2">
        <f t="shared" si="43"/>
        <v>90.965000000000003</v>
      </c>
      <c r="D463" s="2">
        <f t="shared" si="44"/>
        <v>1</v>
      </c>
      <c r="E463" s="2">
        <f t="shared" si="45"/>
        <v>1</v>
      </c>
      <c r="F463" s="2">
        <f t="shared" si="46"/>
        <v>0.99</v>
      </c>
      <c r="G463" s="2">
        <f t="shared" si="47"/>
        <v>1</v>
      </c>
      <c r="H463" s="2">
        <f>IF(G463=Training_Data!F463,1,0)</f>
        <v>0</v>
      </c>
    </row>
    <row r="464" spans="1:8" x14ac:dyDescent="0.2">
      <c r="A464" s="2">
        <f>$L$2+SUMPRODUCT($M$2:$Q$2,Training_Data!A464:E464)</f>
        <v>414.86899999999997</v>
      </c>
      <c r="B464" s="2">
        <f t="shared" si="42"/>
        <v>414.86899999999997</v>
      </c>
      <c r="C464" s="2">
        <f t="shared" si="43"/>
        <v>100</v>
      </c>
      <c r="D464" s="2">
        <f t="shared" si="44"/>
        <v>1</v>
      </c>
      <c r="E464" s="2">
        <f t="shared" si="45"/>
        <v>1</v>
      </c>
      <c r="F464" s="2">
        <f t="shared" si="46"/>
        <v>0.99</v>
      </c>
      <c r="G464" s="2">
        <f t="shared" si="47"/>
        <v>1</v>
      </c>
      <c r="H464" s="2">
        <f>IF(G464=Training_Data!F464,1,0)</f>
        <v>0</v>
      </c>
    </row>
    <row r="465" spans="1:8" x14ac:dyDescent="0.2">
      <c r="A465" s="2">
        <f>$L$2+SUMPRODUCT($M$2:$Q$2,Training_Data!A465:E465)</f>
        <v>611.26</v>
      </c>
      <c r="B465" s="2">
        <f t="shared" si="42"/>
        <v>611.26</v>
      </c>
      <c r="C465" s="2">
        <f t="shared" si="43"/>
        <v>100</v>
      </c>
      <c r="D465" s="2">
        <f t="shared" si="44"/>
        <v>1</v>
      </c>
      <c r="E465" s="2">
        <f t="shared" si="45"/>
        <v>1</v>
      </c>
      <c r="F465" s="2">
        <f t="shared" si="46"/>
        <v>0.99</v>
      </c>
      <c r="G465" s="2">
        <f t="shared" si="47"/>
        <v>1</v>
      </c>
      <c r="H465" s="2">
        <f>IF(G465=Training_Data!F465,1,0)</f>
        <v>0</v>
      </c>
    </row>
    <row r="466" spans="1:8" x14ac:dyDescent="0.2">
      <c r="A466" s="2">
        <f>$L$2+SUMPRODUCT($M$2:$Q$2,Training_Data!A466:E466)</f>
        <v>45.153000000000006</v>
      </c>
      <c r="B466" s="2">
        <f t="shared" si="42"/>
        <v>45.153000000000006</v>
      </c>
      <c r="C466" s="2">
        <f t="shared" si="43"/>
        <v>45.153000000000006</v>
      </c>
      <c r="D466" s="2">
        <f t="shared" si="44"/>
        <v>1</v>
      </c>
      <c r="E466" s="2">
        <f t="shared" si="45"/>
        <v>1</v>
      </c>
      <c r="F466" s="2">
        <f t="shared" si="46"/>
        <v>0.99</v>
      </c>
      <c r="G466" s="2">
        <f t="shared" si="47"/>
        <v>1</v>
      </c>
      <c r="H466" s="2">
        <f>IF(G466=Training_Data!F466,1,0)</f>
        <v>0</v>
      </c>
    </row>
    <row r="467" spans="1:8" x14ac:dyDescent="0.2">
      <c r="A467" s="2">
        <f>$L$2+SUMPRODUCT($M$2:$Q$2,Training_Data!A467:E467)</f>
        <v>169.90999999999997</v>
      </c>
      <c r="B467" s="2">
        <f t="shared" si="42"/>
        <v>169.90999999999997</v>
      </c>
      <c r="C467" s="2">
        <f t="shared" si="43"/>
        <v>100</v>
      </c>
      <c r="D467" s="2">
        <f t="shared" si="44"/>
        <v>1</v>
      </c>
      <c r="E467" s="2">
        <f t="shared" si="45"/>
        <v>1</v>
      </c>
      <c r="F467" s="2">
        <f t="shared" si="46"/>
        <v>0.99</v>
      </c>
      <c r="G467" s="2">
        <f t="shared" si="47"/>
        <v>1</v>
      </c>
      <c r="H467" s="2">
        <f>IF(G467=Training_Data!F467,1,0)</f>
        <v>0</v>
      </c>
    </row>
    <row r="468" spans="1:8" x14ac:dyDescent="0.2">
      <c r="A468" s="2">
        <f>$L$2+SUMPRODUCT($M$2:$Q$2,Training_Data!A468:E468)</f>
        <v>14.369999999999997</v>
      </c>
      <c r="B468" s="2">
        <f t="shared" si="42"/>
        <v>14.369999999999997</v>
      </c>
      <c r="C468" s="2">
        <f t="shared" si="43"/>
        <v>14.369999999999997</v>
      </c>
      <c r="D468" s="2">
        <f t="shared" si="44"/>
        <v>0.99999942563489663</v>
      </c>
      <c r="E468" s="2">
        <f t="shared" si="45"/>
        <v>0.99999942563489663</v>
      </c>
      <c r="F468" s="2">
        <f t="shared" si="46"/>
        <v>0.99</v>
      </c>
      <c r="G468" s="2">
        <f t="shared" si="47"/>
        <v>1</v>
      </c>
      <c r="H468" s="2">
        <f>IF(G468=Training_Data!F468,1,0)</f>
        <v>0</v>
      </c>
    </row>
    <row r="469" spans="1:8" x14ac:dyDescent="0.2">
      <c r="A469" s="2">
        <f>$L$2+SUMPRODUCT($M$2:$Q$2,Training_Data!A469:E469)</f>
        <v>1102.4250000000002</v>
      </c>
      <c r="B469" s="2">
        <f t="shared" si="42"/>
        <v>1102.4250000000002</v>
      </c>
      <c r="C469" s="2">
        <f t="shared" si="43"/>
        <v>100</v>
      </c>
      <c r="D469" s="2">
        <f t="shared" si="44"/>
        <v>1</v>
      </c>
      <c r="E469" s="2">
        <f t="shared" si="45"/>
        <v>1</v>
      </c>
      <c r="F469" s="2">
        <f t="shared" si="46"/>
        <v>0.99</v>
      </c>
      <c r="G469" s="2">
        <f t="shared" si="47"/>
        <v>1</v>
      </c>
      <c r="H469" s="2">
        <f>IF(G469=Training_Data!F469,1,0)</f>
        <v>0</v>
      </c>
    </row>
    <row r="470" spans="1:8" x14ac:dyDescent="0.2">
      <c r="A470" s="2">
        <f>$L$2+SUMPRODUCT($M$2:$Q$2,Training_Data!A470:E470)</f>
        <v>6980.5749999999998</v>
      </c>
      <c r="B470" s="2">
        <f t="shared" si="42"/>
        <v>6980.5749999999998</v>
      </c>
      <c r="C470" s="2">
        <f t="shared" si="43"/>
        <v>100</v>
      </c>
      <c r="D470" s="2">
        <f t="shared" si="44"/>
        <v>1</v>
      </c>
      <c r="E470" s="2">
        <f t="shared" si="45"/>
        <v>1</v>
      </c>
      <c r="F470" s="2">
        <f t="shared" si="46"/>
        <v>0.99</v>
      </c>
      <c r="G470" s="2">
        <f t="shared" si="47"/>
        <v>1</v>
      </c>
      <c r="H470" s="2">
        <f>IF(G470=Training_Data!F470,1,0)</f>
        <v>0</v>
      </c>
    </row>
    <row r="471" spans="1:8" x14ac:dyDescent="0.2">
      <c r="A471" s="2">
        <f>$L$2+SUMPRODUCT($M$2:$Q$2,Training_Data!A471:E471)</f>
        <v>1688.059</v>
      </c>
      <c r="B471" s="2">
        <f t="shared" si="42"/>
        <v>1688.059</v>
      </c>
      <c r="C471" s="2">
        <f t="shared" si="43"/>
        <v>100</v>
      </c>
      <c r="D471" s="2">
        <f t="shared" si="44"/>
        <v>1</v>
      </c>
      <c r="E471" s="2">
        <f t="shared" si="45"/>
        <v>1</v>
      </c>
      <c r="F471" s="2">
        <f t="shared" si="46"/>
        <v>0.99</v>
      </c>
      <c r="G471" s="2">
        <f t="shared" si="47"/>
        <v>1</v>
      </c>
      <c r="H471" s="2">
        <f>IF(G471=Training_Data!F471,1,0)</f>
        <v>0</v>
      </c>
    </row>
    <row r="472" spans="1:8" x14ac:dyDescent="0.2">
      <c r="A472" s="2">
        <f>$L$2+SUMPRODUCT($M$2:$Q$2,Training_Data!A472:E472)</f>
        <v>232.74099999999999</v>
      </c>
      <c r="B472" s="2">
        <f t="shared" si="42"/>
        <v>232.74099999999999</v>
      </c>
      <c r="C472" s="2">
        <f t="shared" si="43"/>
        <v>100</v>
      </c>
      <c r="D472" s="2">
        <f t="shared" si="44"/>
        <v>1</v>
      </c>
      <c r="E472" s="2">
        <f t="shared" si="45"/>
        <v>1</v>
      </c>
      <c r="F472" s="2">
        <f t="shared" si="46"/>
        <v>0.99</v>
      </c>
      <c r="G472" s="2">
        <f t="shared" si="47"/>
        <v>1</v>
      </c>
      <c r="H472" s="2">
        <f>IF(G472=Training_Data!F472,1,0)</f>
        <v>0</v>
      </c>
    </row>
    <row r="473" spans="1:8" x14ac:dyDescent="0.2">
      <c r="A473" s="2">
        <f>$L$2+SUMPRODUCT($M$2:$Q$2,Training_Data!A473:E473)</f>
        <v>308.22800000000001</v>
      </c>
      <c r="B473" s="2">
        <f t="shared" si="42"/>
        <v>308.22800000000001</v>
      </c>
      <c r="C473" s="2">
        <f t="shared" si="43"/>
        <v>100</v>
      </c>
      <c r="D473" s="2">
        <f t="shared" si="44"/>
        <v>1</v>
      </c>
      <c r="E473" s="2">
        <f t="shared" si="45"/>
        <v>1</v>
      </c>
      <c r="F473" s="2">
        <f t="shared" si="46"/>
        <v>0.99</v>
      </c>
      <c r="G473" s="2">
        <f t="shared" si="47"/>
        <v>1</v>
      </c>
      <c r="H473" s="2">
        <f>IF(G473=Training_Data!F473,1,0)</f>
        <v>0</v>
      </c>
    </row>
    <row r="474" spans="1:8" x14ac:dyDescent="0.2">
      <c r="A474" s="2">
        <f>$L$2+SUMPRODUCT($M$2:$Q$2,Training_Data!A474:E474)</f>
        <v>3256.0749999999998</v>
      </c>
      <c r="B474" s="2">
        <f t="shared" si="42"/>
        <v>3256.0749999999998</v>
      </c>
      <c r="C474" s="2">
        <f t="shared" si="43"/>
        <v>100</v>
      </c>
      <c r="D474" s="2">
        <f t="shared" si="44"/>
        <v>1</v>
      </c>
      <c r="E474" s="2">
        <f t="shared" si="45"/>
        <v>1</v>
      </c>
      <c r="F474" s="2">
        <f t="shared" si="46"/>
        <v>0.99</v>
      </c>
      <c r="G474" s="2">
        <f t="shared" si="47"/>
        <v>1</v>
      </c>
      <c r="H474" s="2">
        <f>IF(G474=Training_Data!F474,1,0)</f>
        <v>1</v>
      </c>
    </row>
    <row r="475" spans="1:8" x14ac:dyDescent="0.2">
      <c r="A475" s="2">
        <f>$L$2+SUMPRODUCT($M$2:$Q$2,Training_Data!A475:E475)</f>
        <v>7069.1970000000001</v>
      </c>
      <c r="B475" s="2">
        <f t="shared" si="42"/>
        <v>7069.1970000000001</v>
      </c>
      <c r="C475" s="2">
        <f t="shared" si="43"/>
        <v>100</v>
      </c>
      <c r="D475" s="2">
        <f t="shared" si="44"/>
        <v>1</v>
      </c>
      <c r="E475" s="2">
        <f t="shared" si="45"/>
        <v>1</v>
      </c>
      <c r="F475" s="2">
        <f t="shared" si="46"/>
        <v>0.99</v>
      </c>
      <c r="G475" s="2">
        <f t="shared" si="47"/>
        <v>1</v>
      </c>
      <c r="H475" s="2">
        <f>IF(G475=Training_Data!F475,1,0)</f>
        <v>1</v>
      </c>
    </row>
    <row r="476" spans="1:8" x14ac:dyDescent="0.2">
      <c r="A476" s="2">
        <f>$L$2+SUMPRODUCT($M$2:$Q$2,Training_Data!A476:E476)</f>
        <v>15056.375000000002</v>
      </c>
      <c r="B476" s="2">
        <f t="shared" si="42"/>
        <v>15056.375000000002</v>
      </c>
      <c r="C476" s="2">
        <f t="shared" si="43"/>
        <v>100</v>
      </c>
      <c r="D476" s="2">
        <f t="shared" si="44"/>
        <v>1</v>
      </c>
      <c r="E476" s="2">
        <f t="shared" si="45"/>
        <v>1</v>
      </c>
      <c r="F476" s="2">
        <f t="shared" si="46"/>
        <v>0.99</v>
      </c>
      <c r="G476" s="2">
        <f t="shared" si="47"/>
        <v>1</v>
      </c>
      <c r="H476" s="2">
        <f>IF(G476=Training_Data!F476,1,0)</f>
        <v>1</v>
      </c>
    </row>
    <row r="477" spans="1:8" x14ac:dyDescent="0.2">
      <c r="A477" s="2">
        <f>$L$2+SUMPRODUCT($M$2:$Q$2,Training_Data!A477:E477)</f>
        <v>465.08699999999999</v>
      </c>
      <c r="B477" s="2">
        <f t="shared" si="42"/>
        <v>465.08699999999999</v>
      </c>
      <c r="C477" s="2">
        <f t="shared" si="43"/>
        <v>100</v>
      </c>
      <c r="D477" s="2">
        <f t="shared" si="44"/>
        <v>1</v>
      </c>
      <c r="E477" s="2">
        <f t="shared" si="45"/>
        <v>1</v>
      </c>
      <c r="F477" s="2">
        <f t="shared" si="46"/>
        <v>0.99</v>
      </c>
      <c r="G477" s="2">
        <f t="shared" si="47"/>
        <v>1</v>
      </c>
      <c r="H477" s="2">
        <f>IF(G477=Training_Data!F477,1,0)</f>
        <v>1</v>
      </c>
    </row>
    <row r="478" spans="1:8" x14ac:dyDescent="0.2">
      <c r="A478" s="2">
        <f>$L$2+SUMPRODUCT($M$2:$Q$2,Training_Data!A478:E478)</f>
        <v>314.86599999999999</v>
      </c>
      <c r="B478" s="2">
        <f t="shared" si="42"/>
        <v>314.86599999999999</v>
      </c>
      <c r="C478" s="2">
        <f t="shared" si="43"/>
        <v>100</v>
      </c>
      <c r="D478" s="2">
        <f t="shared" si="44"/>
        <v>1</v>
      </c>
      <c r="E478" s="2">
        <f t="shared" si="45"/>
        <v>1</v>
      </c>
      <c r="F478" s="2">
        <f t="shared" si="46"/>
        <v>0.99</v>
      </c>
      <c r="G478" s="2">
        <f t="shared" si="47"/>
        <v>1</v>
      </c>
      <c r="H478" s="2">
        <f>IF(G478=Training_Data!F478,1,0)</f>
        <v>1</v>
      </c>
    </row>
    <row r="479" spans="1:8" x14ac:dyDescent="0.2">
      <c r="A479" s="2">
        <f>$L$2+SUMPRODUCT($M$2:$Q$2,Training_Data!A479:E479)</f>
        <v>7226.2470000000003</v>
      </c>
      <c r="B479" s="2">
        <f t="shared" si="42"/>
        <v>7226.2470000000003</v>
      </c>
      <c r="C479" s="2">
        <f t="shared" si="43"/>
        <v>100</v>
      </c>
      <c r="D479" s="2">
        <f t="shared" si="44"/>
        <v>1</v>
      </c>
      <c r="E479" s="2">
        <f t="shared" si="45"/>
        <v>1</v>
      </c>
      <c r="F479" s="2">
        <f t="shared" si="46"/>
        <v>0.99</v>
      </c>
      <c r="G479" s="2">
        <f t="shared" si="47"/>
        <v>1</v>
      </c>
      <c r="H479" s="2">
        <f>IF(G479=Training_Data!F479,1,0)</f>
        <v>1</v>
      </c>
    </row>
    <row r="480" spans="1:8" x14ac:dyDescent="0.2">
      <c r="A480" s="2">
        <f>$L$2+SUMPRODUCT($M$2:$Q$2,Training_Data!A480:E480)</f>
        <v>18945.996999999999</v>
      </c>
      <c r="B480" s="2">
        <f t="shared" si="42"/>
        <v>18945.996999999999</v>
      </c>
      <c r="C480" s="2">
        <f t="shared" si="43"/>
        <v>100</v>
      </c>
      <c r="D480" s="2">
        <f t="shared" si="44"/>
        <v>1</v>
      </c>
      <c r="E480" s="2">
        <f t="shared" si="45"/>
        <v>1</v>
      </c>
      <c r="F480" s="2">
        <f t="shared" si="46"/>
        <v>0.99</v>
      </c>
      <c r="G480" s="2">
        <f t="shared" si="47"/>
        <v>1</v>
      </c>
      <c r="H480" s="2">
        <f>IF(G480=Training_Data!F480,1,0)</f>
        <v>1</v>
      </c>
    </row>
    <row r="481" spans="1:8" x14ac:dyDescent="0.2">
      <c r="A481" s="2">
        <f>$L$2+SUMPRODUCT($M$2:$Q$2,Training_Data!A481:E481)</f>
        <v>151.494</v>
      </c>
      <c r="B481" s="2">
        <f t="shared" si="42"/>
        <v>151.494</v>
      </c>
      <c r="C481" s="2">
        <f t="shared" si="43"/>
        <v>100</v>
      </c>
      <c r="D481" s="2">
        <f t="shared" si="44"/>
        <v>1</v>
      </c>
      <c r="E481" s="2">
        <f t="shared" si="45"/>
        <v>1</v>
      </c>
      <c r="F481" s="2">
        <f t="shared" si="46"/>
        <v>0.99</v>
      </c>
      <c r="G481" s="2">
        <f t="shared" si="47"/>
        <v>1</v>
      </c>
      <c r="H481" s="2">
        <f>IF(G481=Training_Data!F481,1,0)</f>
        <v>1</v>
      </c>
    </row>
    <row r="482" spans="1:8" x14ac:dyDescent="0.2">
      <c r="A482" s="2">
        <f>$L$2+SUMPRODUCT($M$2:$Q$2,Training_Data!A482:E482)</f>
        <v>390.85300000000001</v>
      </c>
      <c r="B482" s="2">
        <f t="shared" si="42"/>
        <v>390.85300000000001</v>
      </c>
      <c r="C482" s="2">
        <f t="shared" si="43"/>
        <v>100</v>
      </c>
      <c r="D482" s="2">
        <f t="shared" si="44"/>
        <v>1</v>
      </c>
      <c r="E482" s="2">
        <f t="shared" si="45"/>
        <v>1</v>
      </c>
      <c r="F482" s="2">
        <f t="shared" si="46"/>
        <v>0.99</v>
      </c>
      <c r="G482" s="2">
        <f t="shared" si="47"/>
        <v>1</v>
      </c>
      <c r="H482" s="2">
        <f>IF(G482=Training_Data!F482,1,0)</f>
        <v>1</v>
      </c>
    </row>
    <row r="483" spans="1:8" x14ac:dyDescent="0.2">
      <c r="A483" s="2">
        <f>$L$2+SUMPRODUCT($M$2:$Q$2,Training_Data!A483:E483)</f>
        <v>4715.8469999999998</v>
      </c>
      <c r="B483" s="2">
        <f t="shared" si="42"/>
        <v>4715.8469999999998</v>
      </c>
      <c r="C483" s="2">
        <f t="shared" si="43"/>
        <v>100</v>
      </c>
      <c r="D483" s="2">
        <f t="shared" si="44"/>
        <v>1</v>
      </c>
      <c r="E483" s="2">
        <f t="shared" si="45"/>
        <v>1</v>
      </c>
      <c r="F483" s="2">
        <f t="shared" si="46"/>
        <v>0.99</v>
      </c>
      <c r="G483" s="2">
        <f t="shared" si="47"/>
        <v>1</v>
      </c>
      <c r="H483" s="2">
        <f>IF(G483=Training_Data!F483,1,0)</f>
        <v>1</v>
      </c>
    </row>
    <row r="484" spans="1:8" x14ac:dyDescent="0.2">
      <c r="A484" s="2">
        <f>$L$2+SUMPRODUCT($M$2:$Q$2,Training_Data!A484:E484)</f>
        <v>-13.100000000000001</v>
      </c>
      <c r="B484" s="2">
        <f t="shared" si="42"/>
        <v>-13.100000000000001</v>
      </c>
      <c r="C484" s="2">
        <f t="shared" si="43"/>
        <v>-13.100000000000001</v>
      </c>
      <c r="D484" s="2">
        <f t="shared" si="44"/>
        <v>2.0452264415637335E-6</v>
      </c>
      <c r="E484" s="2">
        <f t="shared" si="45"/>
        <v>0.01</v>
      </c>
      <c r="F484" s="2">
        <f t="shared" si="46"/>
        <v>0.01</v>
      </c>
      <c r="G484" s="2">
        <f t="shared" si="47"/>
        <v>0</v>
      </c>
      <c r="H484" s="2">
        <f>IF(G484=Training_Data!F484,1,0)</f>
        <v>0</v>
      </c>
    </row>
    <row r="485" spans="1:8" x14ac:dyDescent="0.2">
      <c r="A485" s="2">
        <f>$L$2+SUMPRODUCT($M$2:$Q$2,Training_Data!A485:E485)</f>
        <v>568.9910000000001</v>
      </c>
      <c r="B485" s="2">
        <f t="shared" si="42"/>
        <v>568.9910000000001</v>
      </c>
      <c r="C485" s="2">
        <f t="shared" si="43"/>
        <v>100</v>
      </c>
      <c r="D485" s="2">
        <f t="shared" si="44"/>
        <v>1</v>
      </c>
      <c r="E485" s="2">
        <f t="shared" si="45"/>
        <v>1</v>
      </c>
      <c r="F485" s="2">
        <f t="shared" si="46"/>
        <v>0.99</v>
      </c>
      <c r="G485" s="2">
        <f t="shared" si="47"/>
        <v>1</v>
      </c>
      <c r="H485" s="2">
        <f>IF(G485=Training_Data!F485,1,0)</f>
        <v>1</v>
      </c>
    </row>
    <row r="486" spans="1:8" x14ac:dyDescent="0.2">
      <c r="A486" s="2">
        <f>$L$2+SUMPRODUCT($M$2:$Q$2,Training_Data!A486:E486)</f>
        <v>567.5</v>
      </c>
      <c r="B486" s="2">
        <f t="shared" si="42"/>
        <v>567.5</v>
      </c>
      <c r="C486" s="2">
        <f t="shared" si="43"/>
        <v>100</v>
      </c>
      <c r="D486" s="2">
        <f t="shared" si="44"/>
        <v>1</v>
      </c>
      <c r="E486" s="2">
        <f t="shared" si="45"/>
        <v>1</v>
      </c>
      <c r="F486" s="2">
        <f t="shared" si="46"/>
        <v>0.99</v>
      </c>
      <c r="G486" s="2">
        <f t="shared" si="47"/>
        <v>1</v>
      </c>
      <c r="H486" s="2">
        <f>IF(G486=Training_Data!F486,1,0)</f>
        <v>1</v>
      </c>
    </row>
    <row r="487" spans="1:8" x14ac:dyDescent="0.2">
      <c r="A487" s="2">
        <f>$L$2+SUMPRODUCT($M$2:$Q$2,Training_Data!A487:E487)</f>
        <v>471.32799999999997</v>
      </c>
      <c r="B487" s="2">
        <f t="shared" si="42"/>
        <v>471.32799999999997</v>
      </c>
      <c r="C487" s="2">
        <f t="shared" si="43"/>
        <v>100</v>
      </c>
      <c r="D487" s="2">
        <f t="shared" si="44"/>
        <v>1</v>
      </c>
      <c r="E487" s="2">
        <f t="shared" si="45"/>
        <v>1</v>
      </c>
      <c r="F487" s="2">
        <f t="shared" si="46"/>
        <v>0.99</v>
      </c>
      <c r="G487" s="2">
        <f t="shared" si="47"/>
        <v>1</v>
      </c>
      <c r="H487" s="2">
        <f>IF(G487=Training_Data!F487,1,0)</f>
        <v>1</v>
      </c>
    </row>
    <row r="488" spans="1:8" x14ac:dyDescent="0.2">
      <c r="A488" s="2">
        <f>$L$2+SUMPRODUCT($M$2:$Q$2,Training_Data!A488:E488)</f>
        <v>16032.003000000001</v>
      </c>
      <c r="B488" s="2">
        <f t="shared" si="42"/>
        <v>16032.003000000001</v>
      </c>
      <c r="C488" s="2">
        <f t="shared" si="43"/>
        <v>100</v>
      </c>
      <c r="D488" s="2">
        <f t="shared" si="44"/>
        <v>1</v>
      </c>
      <c r="E488" s="2">
        <f t="shared" si="45"/>
        <v>1</v>
      </c>
      <c r="F488" s="2">
        <f t="shared" si="46"/>
        <v>0.99</v>
      </c>
      <c r="G488" s="2">
        <f t="shared" si="47"/>
        <v>1</v>
      </c>
      <c r="H488" s="2">
        <f>IF(G488=Training_Data!F488,1,0)</f>
        <v>1</v>
      </c>
    </row>
    <row r="489" spans="1:8" x14ac:dyDescent="0.2">
      <c r="A489" s="2">
        <f>$L$2+SUMPRODUCT($M$2:$Q$2,Training_Data!A489:E489)</f>
        <v>2014.422</v>
      </c>
      <c r="B489" s="2">
        <f t="shared" si="42"/>
        <v>2014.422</v>
      </c>
      <c r="C489" s="2">
        <f t="shared" si="43"/>
        <v>100</v>
      </c>
      <c r="D489" s="2">
        <f t="shared" si="44"/>
        <v>1</v>
      </c>
      <c r="E489" s="2">
        <f t="shared" si="45"/>
        <v>1</v>
      </c>
      <c r="F489" s="2">
        <f t="shared" si="46"/>
        <v>0.99</v>
      </c>
      <c r="G489" s="2">
        <f t="shared" si="47"/>
        <v>1</v>
      </c>
      <c r="H489" s="2">
        <f>IF(G489=Training_Data!F489,1,0)</f>
        <v>1</v>
      </c>
    </row>
    <row r="490" spans="1:8" x14ac:dyDescent="0.2">
      <c r="A490" s="2">
        <f>$L$2+SUMPRODUCT($M$2:$Q$2,Training_Data!A490:E490)</f>
        <v>1592.328</v>
      </c>
      <c r="B490" s="2">
        <f t="shared" si="42"/>
        <v>1592.328</v>
      </c>
      <c r="C490" s="2">
        <f t="shared" si="43"/>
        <v>100</v>
      </c>
      <c r="D490" s="2">
        <f t="shared" si="44"/>
        <v>1</v>
      </c>
      <c r="E490" s="2">
        <f t="shared" si="45"/>
        <v>1</v>
      </c>
      <c r="F490" s="2">
        <f t="shared" si="46"/>
        <v>0.99</v>
      </c>
      <c r="G490" s="2">
        <f t="shared" si="47"/>
        <v>1</v>
      </c>
      <c r="H490" s="2">
        <f>IF(G490=Training_Data!F490,1,0)</f>
        <v>1</v>
      </c>
    </row>
    <row r="491" spans="1:8" x14ac:dyDescent="0.2">
      <c r="A491" s="2">
        <f>$L$2+SUMPRODUCT($M$2:$Q$2,Training_Data!A491:E491)</f>
        <v>353.89699999999999</v>
      </c>
      <c r="B491" s="2">
        <f t="shared" si="42"/>
        <v>353.89699999999999</v>
      </c>
      <c r="C491" s="2">
        <f t="shared" si="43"/>
        <v>100</v>
      </c>
      <c r="D491" s="2">
        <f t="shared" si="44"/>
        <v>1</v>
      </c>
      <c r="E491" s="2">
        <f t="shared" si="45"/>
        <v>1</v>
      </c>
      <c r="F491" s="2">
        <f t="shared" si="46"/>
        <v>0.99</v>
      </c>
      <c r="G491" s="2">
        <f t="shared" si="47"/>
        <v>1</v>
      </c>
      <c r="H491" s="2">
        <f>IF(G491=Training_Data!F491,1,0)</f>
        <v>1</v>
      </c>
    </row>
    <row r="492" spans="1:8" x14ac:dyDescent="0.2">
      <c r="A492" s="2">
        <f>$L$2+SUMPRODUCT($M$2:$Q$2,Training_Data!A492:E492)</f>
        <v>1064.3880000000001</v>
      </c>
      <c r="B492" s="2">
        <f t="shared" si="42"/>
        <v>1064.3880000000001</v>
      </c>
      <c r="C492" s="2">
        <f t="shared" si="43"/>
        <v>100</v>
      </c>
      <c r="D492" s="2">
        <f t="shared" si="44"/>
        <v>1</v>
      </c>
      <c r="E492" s="2">
        <f t="shared" si="45"/>
        <v>1</v>
      </c>
      <c r="F492" s="2">
        <f t="shared" si="46"/>
        <v>0.99</v>
      </c>
      <c r="G492" s="2">
        <f t="shared" si="47"/>
        <v>1</v>
      </c>
      <c r="H492" s="2">
        <f>IF(G492=Training_Data!F492,1,0)</f>
        <v>1</v>
      </c>
    </row>
    <row r="493" spans="1:8" x14ac:dyDescent="0.2">
      <c r="A493" s="2">
        <f>$L$2+SUMPRODUCT($M$2:$Q$2,Training_Data!A493:E493)</f>
        <v>3360.2749999999996</v>
      </c>
      <c r="B493" s="2">
        <f t="shared" si="42"/>
        <v>3360.2749999999996</v>
      </c>
      <c r="C493" s="2">
        <f t="shared" si="43"/>
        <v>100</v>
      </c>
      <c r="D493" s="2">
        <f t="shared" si="44"/>
        <v>1</v>
      </c>
      <c r="E493" s="2">
        <f t="shared" si="45"/>
        <v>1</v>
      </c>
      <c r="F493" s="2">
        <f t="shared" si="46"/>
        <v>0.99</v>
      </c>
      <c r="G493" s="2">
        <f t="shared" si="47"/>
        <v>1</v>
      </c>
      <c r="H493" s="2">
        <f>IF(G493=Training_Data!F493,1,0)</f>
        <v>1</v>
      </c>
    </row>
    <row r="494" spans="1:8" x14ac:dyDescent="0.2">
      <c r="A494" s="2">
        <f>$L$2+SUMPRODUCT($M$2:$Q$2,Training_Data!A494:E494)</f>
        <v>3174.1</v>
      </c>
      <c r="B494" s="2">
        <f t="shared" si="42"/>
        <v>3174.1</v>
      </c>
      <c r="C494" s="2">
        <f t="shared" si="43"/>
        <v>100</v>
      </c>
      <c r="D494" s="2">
        <f t="shared" si="44"/>
        <v>1</v>
      </c>
      <c r="E494" s="2">
        <f t="shared" si="45"/>
        <v>1</v>
      </c>
      <c r="F494" s="2">
        <f t="shared" si="46"/>
        <v>0.99</v>
      </c>
      <c r="G494" s="2">
        <f t="shared" si="47"/>
        <v>1</v>
      </c>
      <c r="H494" s="2">
        <f>IF(G494=Training_Data!F494,1,0)</f>
        <v>1</v>
      </c>
    </row>
    <row r="495" spans="1:8" x14ac:dyDescent="0.2">
      <c r="A495" s="2">
        <f>$L$2+SUMPRODUCT($M$2:$Q$2,Training_Data!A495:E495)</f>
        <v>-30.696999999999999</v>
      </c>
      <c r="B495" s="2">
        <f t="shared" si="42"/>
        <v>-30.696999999999999</v>
      </c>
      <c r="C495" s="2">
        <f t="shared" si="43"/>
        <v>-30.696999999999999</v>
      </c>
      <c r="D495" s="2">
        <f t="shared" si="44"/>
        <v>4.6608195506687517E-14</v>
      </c>
      <c r="E495" s="2">
        <f t="shared" si="45"/>
        <v>0.01</v>
      </c>
      <c r="F495" s="2">
        <f t="shared" si="46"/>
        <v>0.01</v>
      </c>
      <c r="G495" s="2">
        <f t="shared" si="47"/>
        <v>0</v>
      </c>
      <c r="H495" s="2">
        <f>IF(G495=Training_Data!F495,1,0)</f>
        <v>0</v>
      </c>
    </row>
    <row r="496" spans="1:8" x14ac:dyDescent="0.2">
      <c r="A496" s="2">
        <f>$L$2+SUMPRODUCT($M$2:$Q$2,Training_Data!A496:E496)</f>
        <v>8.3870000000000005</v>
      </c>
      <c r="B496" s="2">
        <f t="shared" si="42"/>
        <v>8.3870000000000005</v>
      </c>
      <c r="C496" s="2">
        <f t="shared" si="43"/>
        <v>8.3870000000000005</v>
      </c>
      <c r="D496" s="2">
        <f t="shared" si="44"/>
        <v>0.99977224220214256</v>
      </c>
      <c r="E496" s="2">
        <f t="shared" si="45"/>
        <v>0.99977224220214256</v>
      </c>
      <c r="F496" s="2">
        <f t="shared" si="46"/>
        <v>0.99</v>
      </c>
      <c r="G496" s="2">
        <f t="shared" si="47"/>
        <v>1</v>
      </c>
      <c r="H496" s="2">
        <f>IF(G496=Training_Data!F496,1,0)</f>
        <v>1</v>
      </c>
    </row>
    <row r="497" spans="1:8" x14ac:dyDescent="0.2">
      <c r="A497" s="2">
        <f>$L$2+SUMPRODUCT($M$2:$Q$2,Training_Data!A497:E497)</f>
        <v>-5.4620000000000006</v>
      </c>
      <c r="B497" s="2">
        <f t="shared" si="42"/>
        <v>-5.4620000000000006</v>
      </c>
      <c r="C497" s="2">
        <f t="shared" si="43"/>
        <v>-5.4620000000000006</v>
      </c>
      <c r="D497" s="2">
        <f t="shared" si="44"/>
        <v>4.2271127994197612E-3</v>
      </c>
      <c r="E497" s="2">
        <f t="shared" si="45"/>
        <v>0.01</v>
      </c>
      <c r="F497" s="2">
        <f t="shared" si="46"/>
        <v>0.01</v>
      </c>
      <c r="G497" s="2">
        <f t="shared" si="47"/>
        <v>0</v>
      </c>
      <c r="H497" s="2">
        <f>IF(G497=Training_Data!F497,1,0)</f>
        <v>0</v>
      </c>
    </row>
    <row r="498" spans="1:8" x14ac:dyDescent="0.2">
      <c r="A498" s="2">
        <f>$L$2+SUMPRODUCT($M$2:$Q$2,Training_Data!A498:E498)</f>
        <v>284.87200000000001</v>
      </c>
      <c r="B498" s="2">
        <f t="shared" si="42"/>
        <v>284.87200000000001</v>
      </c>
      <c r="C498" s="2">
        <f t="shared" si="43"/>
        <v>100</v>
      </c>
      <c r="D498" s="2">
        <f t="shared" si="44"/>
        <v>1</v>
      </c>
      <c r="E498" s="2">
        <f t="shared" si="45"/>
        <v>1</v>
      </c>
      <c r="F498" s="2">
        <f t="shared" si="46"/>
        <v>0.99</v>
      </c>
      <c r="G498" s="2">
        <f t="shared" si="47"/>
        <v>1</v>
      </c>
      <c r="H498" s="2">
        <f>IF(G498=Training_Data!F498,1,0)</f>
        <v>1</v>
      </c>
    </row>
    <row r="499" spans="1:8" x14ac:dyDescent="0.2">
      <c r="A499" s="2">
        <f>$L$2+SUMPRODUCT($M$2:$Q$2,Training_Data!A499:E499)</f>
        <v>2660.6279999999997</v>
      </c>
      <c r="B499" s="2">
        <f t="shared" si="42"/>
        <v>2660.6279999999997</v>
      </c>
      <c r="C499" s="2">
        <f t="shared" si="43"/>
        <v>100</v>
      </c>
      <c r="D499" s="2">
        <f t="shared" si="44"/>
        <v>1</v>
      </c>
      <c r="E499" s="2">
        <f t="shared" si="45"/>
        <v>1</v>
      </c>
      <c r="F499" s="2">
        <f t="shared" si="46"/>
        <v>0.99</v>
      </c>
      <c r="G499" s="2">
        <f t="shared" si="47"/>
        <v>1</v>
      </c>
      <c r="H499" s="2">
        <f>IF(G499=Training_Data!F499,1,0)</f>
        <v>1</v>
      </c>
    </row>
    <row r="500" spans="1:8" x14ac:dyDescent="0.2">
      <c r="A500" s="2">
        <f>$L$2+SUMPRODUCT($M$2:$Q$2,Training_Data!A500:E500)</f>
        <v>85.225000000000009</v>
      </c>
      <c r="B500" s="2">
        <f t="shared" si="42"/>
        <v>85.225000000000009</v>
      </c>
      <c r="C500" s="2">
        <f t="shared" si="43"/>
        <v>85.225000000000009</v>
      </c>
      <c r="D500" s="2">
        <f t="shared" si="44"/>
        <v>1</v>
      </c>
      <c r="E500" s="2">
        <f t="shared" si="45"/>
        <v>1</v>
      </c>
      <c r="F500" s="2">
        <f t="shared" si="46"/>
        <v>0.99</v>
      </c>
      <c r="G500" s="2">
        <f t="shared" si="47"/>
        <v>1</v>
      </c>
      <c r="H500" s="2">
        <f>IF(G500=Training_Data!F500,1,0)</f>
        <v>1</v>
      </c>
    </row>
    <row r="501" spans="1:8" x14ac:dyDescent="0.2">
      <c r="A501" s="2">
        <f>$L$2+SUMPRODUCT($M$2:$Q$2,Training_Data!A501:E501)</f>
        <v>597.43400000000008</v>
      </c>
      <c r="B501" s="2">
        <f t="shared" si="42"/>
        <v>597.43400000000008</v>
      </c>
      <c r="C501" s="2">
        <f t="shared" si="43"/>
        <v>100</v>
      </c>
      <c r="D501" s="2">
        <f t="shared" si="44"/>
        <v>1</v>
      </c>
      <c r="E501" s="2">
        <f t="shared" si="45"/>
        <v>1</v>
      </c>
      <c r="F501" s="2">
        <f t="shared" si="46"/>
        <v>0.99</v>
      </c>
      <c r="G501" s="2">
        <f t="shared" si="47"/>
        <v>1</v>
      </c>
      <c r="H501" s="2">
        <f>IF(G501=Training_Data!F501,1,0)</f>
        <v>1</v>
      </c>
    </row>
    <row r="502" spans="1:8" x14ac:dyDescent="0.2">
      <c r="A502" s="2">
        <f>$L$2+SUMPRODUCT($M$2:$Q$2,Training_Data!A502:E502)</f>
        <v>962.32200000000012</v>
      </c>
      <c r="B502" s="2">
        <f t="shared" si="42"/>
        <v>962.32200000000012</v>
      </c>
      <c r="C502" s="2">
        <f t="shared" si="43"/>
        <v>100</v>
      </c>
      <c r="D502" s="2">
        <f t="shared" si="44"/>
        <v>1</v>
      </c>
      <c r="E502" s="2">
        <f t="shared" si="45"/>
        <v>1</v>
      </c>
      <c r="F502" s="2">
        <f t="shared" si="46"/>
        <v>0.99</v>
      </c>
      <c r="G502" s="2">
        <f t="shared" si="47"/>
        <v>1</v>
      </c>
      <c r="H502" s="2">
        <f>IF(G502=Training_Data!F502,1,0)</f>
        <v>1</v>
      </c>
    </row>
    <row r="503" spans="1:8" x14ac:dyDescent="0.2">
      <c r="A503" s="2">
        <f>$L$2+SUMPRODUCT($M$2:$Q$2,Training_Data!A503:E503)</f>
        <v>1722.088</v>
      </c>
      <c r="B503" s="2">
        <f t="shared" si="42"/>
        <v>1722.088</v>
      </c>
      <c r="C503" s="2">
        <f t="shared" si="43"/>
        <v>100</v>
      </c>
      <c r="D503" s="2">
        <f t="shared" si="44"/>
        <v>1</v>
      </c>
      <c r="E503" s="2">
        <f t="shared" si="45"/>
        <v>1</v>
      </c>
      <c r="F503" s="2">
        <f t="shared" si="46"/>
        <v>0.99</v>
      </c>
      <c r="G503" s="2">
        <f t="shared" si="47"/>
        <v>1</v>
      </c>
      <c r="H503" s="2">
        <f>IF(G503=Training_Data!F503,1,0)</f>
        <v>1</v>
      </c>
    </row>
    <row r="504" spans="1:8" x14ac:dyDescent="0.2">
      <c r="A504" s="2">
        <f>$L$2+SUMPRODUCT($M$2:$Q$2,Training_Data!A504:E504)</f>
        <v>2891.0749999999998</v>
      </c>
      <c r="B504" s="2">
        <f t="shared" si="42"/>
        <v>2891.0749999999998</v>
      </c>
      <c r="C504" s="2">
        <f t="shared" si="43"/>
        <v>100</v>
      </c>
      <c r="D504" s="2">
        <f t="shared" si="44"/>
        <v>1</v>
      </c>
      <c r="E504" s="2">
        <f t="shared" si="45"/>
        <v>1</v>
      </c>
      <c r="F504" s="2">
        <f t="shared" si="46"/>
        <v>0.99</v>
      </c>
      <c r="G504" s="2">
        <f t="shared" si="47"/>
        <v>1</v>
      </c>
      <c r="H504" s="2">
        <f>IF(G504=Training_Data!F504,1,0)</f>
        <v>1</v>
      </c>
    </row>
    <row r="505" spans="1:8" x14ac:dyDescent="0.2">
      <c r="A505" s="2">
        <f>$L$2+SUMPRODUCT($M$2:$Q$2,Training_Data!A505:E505)</f>
        <v>3278.2999999999997</v>
      </c>
      <c r="B505" s="2">
        <f t="shared" si="42"/>
        <v>3278.2999999999997</v>
      </c>
      <c r="C505" s="2">
        <f t="shared" si="43"/>
        <v>100</v>
      </c>
      <c r="D505" s="2">
        <f t="shared" si="44"/>
        <v>1</v>
      </c>
      <c r="E505" s="2">
        <f t="shared" si="45"/>
        <v>1</v>
      </c>
      <c r="F505" s="2">
        <f t="shared" si="46"/>
        <v>0.99</v>
      </c>
      <c r="G505" s="2">
        <f t="shared" si="47"/>
        <v>1</v>
      </c>
      <c r="H505" s="2">
        <f>IF(G505=Training_Data!F505,1,0)</f>
        <v>0</v>
      </c>
    </row>
    <row r="506" spans="1:8" x14ac:dyDescent="0.2">
      <c r="A506" s="2">
        <f>$L$2+SUMPRODUCT($M$2:$Q$2,Training_Data!A506:E506)</f>
        <v>558.98800000000006</v>
      </c>
      <c r="B506" s="2">
        <f t="shared" si="42"/>
        <v>558.98800000000006</v>
      </c>
      <c r="C506" s="2">
        <f t="shared" si="43"/>
        <v>100</v>
      </c>
      <c r="D506" s="2">
        <f t="shared" si="44"/>
        <v>1</v>
      </c>
      <c r="E506" s="2">
        <f t="shared" si="45"/>
        <v>1</v>
      </c>
      <c r="F506" s="2">
        <f t="shared" si="46"/>
        <v>0.99</v>
      </c>
      <c r="G506" s="2">
        <f t="shared" si="47"/>
        <v>1</v>
      </c>
      <c r="H506" s="2">
        <f>IF(G506=Training_Data!F506,1,0)</f>
        <v>0</v>
      </c>
    </row>
    <row r="507" spans="1:8" x14ac:dyDescent="0.2">
      <c r="A507" s="2">
        <f>$L$2+SUMPRODUCT($M$2:$Q$2,Training_Data!A507:E507)</f>
        <v>153.84699999999998</v>
      </c>
      <c r="B507" s="2">
        <f t="shared" si="42"/>
        <v>153.84699999999998</v>
      </c>
      <c r="C507" s="2">
        <f t="shared" si="43"/>
        <v>100</v>
      </c>
      <c r="D507" s="2">
        <f t="shared" si="44"/>
        <v>1</v>
      </c>
      <c r="E507" s="2">
        <f t="shared" si="45"/>
        <v>1</v>
      </c>
      <c r="F507" s="2">
        <f t="shared" si="46"/>
        <v>0.99</v>
      </c>
      <c r="G507" s="2">
        <f t="shared" si="47"/>
        <v>1</v>
      </c>
      <c r="H507" s="2">
        <f>IF(G507=Training_Data!F507,1,0)</f>
        <v>0</v>
      </c>
    </row>
    <row r="508" spans="1:8" x14ac:dyDescent="0.2">
      <c r="A508" s="2">
        <f>$L$2+SUMPRODUCT($M$2:$Q$2,Training_Data!A508:E508)</f>
        <v>179.506</v>
      </c>
      <c r="B508" s="2">
        <f t="shared" si="42"/>
        <v>179.506</v>
      </c>
      <c r="C508" s="2">
        <f t="shared" si="43"/>
        <v>100</v>
      </c>
      <c r="D508" s="2">
        <f t="shared" si="44"/>
        <v>1</v>
      </c>
      <c r="E508" s="2">
        <f t="shared" si="45"/>
        <v>1</v>
      </c>
      <c r="F508" s="2">
        <f t="shared" si="46"/>
        <v>0.99</v>
      </c>
      <c r="G508" s="2">
        <f t="shared" si="47"/>
        <v>1</v>
      </c>
      <c r="H508" s="2">
        <f>IF(G508=Training_Data!F508,1,0)</f>
        <v>0</v>
      </c>
    </row>
    <row r="509" spans="1:8" x14ac:dyDescent="0.2">
      <c r="A509" s="2">
        <f>$L$2+SUMPRODUCT($M$2:$Q$2,Training_Data!A509:E509)</f>
        <v>7313.8650000000007</v>
      </c>
      <c r="B509" s="2">
        <f t="shared" si="42"/>
        <v>7313.8650000000007</v>
      </c>
      <c r="C509" s="2">
        <f t="shared" si="43"/>
        <v>100</v>
      </c>
      <c r="D509" s="2">
        <f t="shared" si="44"/>
        <v>1</v>
      </c>
      <c r="E509" s="2">
        <f t="shared" si="45"/>
        <v>1</v>
      </c>
      <c r="F509" s="2">
        <f t="shared" si="46"/>
        <v>0.99</v>
      </c>
      <c r="G509" s="2">
        <f t="shared" si="47"/>
        <v>1</v>
      </c>
      <c r="H509" s="2">
        <f>IF(G509=Training_Data!F509,1,0)</f>
        <v>0</v>
      </c>
    </row>
    <row r="510" spans="1:8" x14ac:dyDescent="0.2">
      <c r="A510" s="2">
        <f>$L$2+SUMPRODUCT($M$2:$Q$2,Training_Data!A510:E510)</f>
        <v>272.25099999999998</v>
      </c>
      <c r="B510" s="2">
        <f t="shared" si="42"/>
        <v>272.25099999999998</v>
      </c>
      <c r="C510" s="2">
        <f t="shared" si="43"/>
        <v>100</v>
      </c>
      <c r="D510" s="2">
        <f t="shared" si="44"/>
        <v>1</v>
      </c>
      <c r="E510" s="2">
        <f t="shared" si="45"/>
        <v>1</v>
      </c>
      <c r="F510" s="2">
        <f t="shared" si="46"/>
        <v>0.99</v>
      </c>
      <c r="G510" s="2">
        <f t="shared" si="47"/>
        <v>1</v>
      </c>
      <c r="H510" s="2">
        <f>IF(G510=Training_Data!F510,1,0)</f>
        <v>0</v>
      </c>
    </row>
    <row r="511" spans="1:8" x14ac:dyDescent="0.2">
      <c r="A511" s="2">
        <f>$L$2+SUMPRODUCT($M$2:$Q$2,Training_Data!A511:E511)</f>
        <v>1297.615</v>
      </c>
      <c r="B511" s="2">
        <f t="shared" si="42"/>
        <v>1297.615</v>
      </c>
      <c r="C511" s="2">
        <f t="shared" si="43"/>
        <v>100</v>
      </c>
      <c r="D511" s="2">
        <f t="shared" si="44"/>
        <v>1</v>
      </c>
      <c r="E511" s="2">
        <f t="shared" si="45"/>
        <v>1</v>
      </c>
      <c r="F511" s="2">
        <f t="shared" si="46"/>
        <v>0.99</v>
      </c>
      <c r="G511" s="2">
        <f t="shared" si="47"/>
        <v>1</v>
      </c>
      <c r="H511" s="2">
        <f>IF(G511=Training_Data!F511,1,0)</f>
        <v>0</v>
      </c>
    </row>
    <row r="512" spans="1:8" x14ac:dyDescent="0.2">
      <c r="A512" s="2">
        <f>$L$2+SUMPRODUCT($M$2:$Q$2,Training_Data!A512:E512)</f>
        <v>462.64</v>
      </c>
      <c r="B512" s="2">
        <f t="shared" si="42"/>
        <v>462.64</v>
      </c>
      <c r="C512" s="2">
        <f t="shared" si="43"/>
        <v>100</v>
      </c>
      <c r="D512" s="2">
        <f t="shared" si="44"/>
        <v>1</v>
      </c>
      <c r="E512" s="2">
        <f t="shared" si="45"/>
        <v>1</v>
      </c>
      <c r="F512" s="2">
        <f t="shared" si="46"/>
        <v>0.99</v>
      </c>
      <c r="G512" s="2">
        <f t="shared" si="47"/>
        <v>1</v>
      </c>
      <c r="H512" s="2">
        <f>IF(G512=Training_Data!F512,1,0)</f>
        <v>0</v>
      </c>
    </row>
    <row r="513" spans="1:8" x14ac:dyDescent="0.2">
      <c r="A513" s="2">
        <f>$L$2+SUMPRODUCT($M$2:$Q$2,Training_Data!A513:E513)</f>
        <v>507.202</v>
      </c>
      <c r="B513" s="2">
        <f t="shared" si="42"/>
        <v>507.202</v>
      </c>
      <c r="C513" s="2">
        <f t="shared" si="43"/>
        <v>100</v>
      </c>
      <c r="D513" s="2">
        <f t="shared" si="44"/>
        <v>1</v>
      </c>
      <c r="E513" s="2">
        <f t="shared" si="45"/>
        <v>1</v>
      </c>
      <c r="F513" s="2">
        <f t="shared" si="46"/>
        <v>0.99</v>
      </c>
      <c r="G513" s="2">
        <f t="shared" si="47"/>
        <v>1</v>
      </c>
      <c r="H513" s="2">
        <f>IF(G513=Training_Data!F513,1,0)</f>
        <v>0</v>
      </c>
    </row>
    <row r="514" spans="1:8" x14ac:dyDescent="0.2">
      <c r="A514" s="2">
        <f>$L$2+SUMPRODUCT($M$2:$Q$2,Training_Data!A514:E514)</f>
        <v>700.14700000000005</v>
      </c>
      <c r="B514" s="2">
        <f t="shared" si="42"/>
        <v>700.14700000000005</v>
      </c>
      <c r="C514" s="2">
        <f t="shared" si="43"/>
        <v>100</v>
      </c>
      <c r="D514" s="2">
        <f t="shared" si="44"/>
        <v>1</v>
      </c>
      <c r="E514" s="2">
        <f t="shared" si="45"/>
        <v>1</v>
      </c>
      <c r="F514" s="2">
        <f t="shared" si="46"/>
        <v>0.99</v>
      </c>
      <c r="G514" s="2">
        <f t="shared" si="47"/>
        <v>1</v>
      </c>
      <c r="H514" s="2">
        <f>IF(G514=Training_Data!F514,1,0)</f>
        <v>0</v>
      </c>
    </row>
    <row r="515" spans="1:8" x14ac:dyDescent="0.2">
      <c r="A515" s="2">
        <f>$L$2+SUMPRODUCT($M$2:$Q$2,Training_Data!A515:E515)</f>
        <v>141.90899999999999</v>
      </c>
      <c r="B515" s="2">
        <f t="shared" ref="B515:B578" si="48">IF(A515&lt;-100,-100,A515)</f>
        <v>141.90899999999999</v>
      </c>
      <c r="C515" s="2">
        <f t="shared" ref="C515:C578" si="49">IF(B515&gt;100,100,B515)</f>
        <v>100</v>
      </c>
      <c r="D515" s="2">
        <f t="shared" ref="D515:D578" si="50">1/(1+EXP(-C515))</f>
        <v>1</v>
      </c>
      <c r="E515" s="2">
        <f t="shared" ref="E515:E578" si="51">IF(D515&lt;0.01,0.01,D515)</f>
        <v>1</v>
      </c>
      <c r="F515" s="2">
        <f t="shared" ref="F515:F578" si="52">IF(E515&gt;0.99,0.99, E515)</f>
        <v>0.99</v>
      </c>
      <c r="G515" s="2">
        <f t="shared" ref="G515:G578" si="53">IF(F515&gt;0.5,1,0)</f>
        <v>1</v>
      </c>
      <c r="H515" s="2">
        <f>IF(G515=Training_Data!F515,1,0)</f>
        <v>0</v>
      </c>
    </row>
    <row r="516" spans="1:8" x14ac:dyDescent="0.2">
      <c r="A516" s="2">
        <f>$L$2+SUMPRODUCT($M$2:$Q$2,Training_Data!A516:E516)</f>
        <v>674.95299999999997</v>
      </c>
      <c r="B516" s="2">
        <f t="shared" si="48"/>
        <v>674.95299999999997</v>
      </c>
      <c r="C516" s="2">
        <f t="shared" si="49"/>
        <v>100</v>
      </c>
      <c r="D516" s="2">
        <f t="shared" si="50"/>
        <v>1</v>
      </c>
      <c r="E516" s="2">
        <f t="shared" si="51"/>
        <v>1</v>
      </c>
      <c r="F516" s="2">
        <f t="shared" si="52"/>
        <v>0.99</v>
      </c>
      <c r="G516" s="2">
        <f t="shared" si="53"/>
        <v>1</v>
      </c>
      <c r="H516" s="2">
        <f>IF(G516=Training_Data!F516,1,0)</f>
        <v>0</v>
      </c>
    </row>
    <row r="517" spans="1:8" x14ac:dyDescent="0.2">
      <c r="A517" s="2">
        <f>$L$2+SUMPRODUCT($M$2:$Q$2,Training_Data!A517:E517)</f>
        <v>393.65899999999999</v>
      </c>
      <c r="B517" s="2">
        <f t="shared" si="48"/>
        <v>393.65899999999999</v>
      </c>
      <c r="C517" s="2">
        <f t="shared" si="49"/>
        <v>100</v>
      </c>
      <c r="D517" s="2">
        <f t="shared" si="50"/>
        <v>1</v>
      </c>
      <c r="E517" s="2">
        <f t="shared" si="51"/>
        <v>1</v>
      </c>
      <c r="F517" s="2">
        <f t="shared" si="52"/>
        <v>0.99</v>
      </c>
      <c r="G517" s="2">
        <f t="shared" si="53"/>
        <v>1</v>
      </c>
      <c r="H517" s="2">
        <f>IF(G517=Training_Data!F517,1,0)</f>
        <v>0</v>
      </c>
    </row>
    <row r="518" spans="1:8" x14ac:dyDescent="0.2">
      <c r="A518" s="2">
        <f>$L$2+SUMPRODUCT($M$2:$Q$2,Training_Data!A518:E518)</f>
        <v>89.022000000000006</v>
      </c>
      <c r="B518" s="2">
        <f t="shared" si="48"/>
        <v>89.022000000000006</v>
      </c>
      <c r="C518" s="2">
        <f t="shared" si="49"/>
        <v>89.022000000000006</v>
      </c>
      <c r="D518" s="2">
        <f t="shared" si="50"/>
        <v>1</v>
      </c>
      <c r="E518" s="2">
        <f t="shared" si="51"/>
        <v>1</v>
      </c>
      <c r="F518" s="2">
        <f t="shared" si="52"/>
        <v>0.99</v>
      </c>
      <c r="G518" s="2">
        <f t="shared" si="53"/>
        <v>1</v>
      </c>
      <c r="H518" s="2">
        <f>IF(G518=Training_Data!F518,1,0)</f>
        <v>0</v>
      </c>
    </row>
    <row r="519" spans="1:8" x14ac:dyDescent="0.2">
      <c r="A519" s="2">
        <f>$L$2+SUMPRODUCT($M$2:$Q$2,Training_Data!A519:E519)</f>
        <v>870.6880000000001</v>
      </c>
      <c r="B519" s="2">
        <f t="shared" si="48"/>
        <v>870.6880000000001</v>
      </c>
      <c r="C519" s="2">
        <f t="shared" si="49"/>
        <v>100</v>
      </c>
      <c r="D519" s="2">
        <f t="shared" si="50"/>
        <v>1</v>
      </c>
      <c r="E519" s="2">
        <f t="shared" si="51"/>
        <v>1</v>
      </c>
      <c r="F519" s="2">
        <f t="shared" si="52"/>
        <v>0.99</v>
      </c>
      <c r="G519" s="2">
        <f t="shared" si="53"/>
        <v>1</v>
      </c>
      <c r="H519" s="2">
        <f>IF(G519=Training_Data!F519,1,0)</f>
        <v>0</v>
      </c>
    </row>
    <row r="520" spans="1:8" x14ac:dyDescent="0.2">
      <c r="A520" s="2">
        <f>$L$2+SUMPRODUCT($M$2:$Q$2,Training_Data!A520:E520)</f>
        <v>190.07499999999999</v>
      </c>
      <c r="B520" s="2">
        <f t="shared" si="48"/>
        <v>190.07499999999999</v>
      </c>
      <c r="C520" s="2">
        <f t="shared" si="49"/>
        <v>100</v>
      </c>
      <c r="D520" s="2">
        <f t="shared" si="50"/>
        <v>1</v>
      </c>
      <c r="E520" s="2">
        <f t="shared" si="51"/>
        <v>1</v>
      </c>
      <c r="F520" s="2">
        <f t="shared" si="52"/>
        <v>0.99</v>
      </c>
      <c r="G520" s="2">
        <f t="shared" si="53"/>
        <v>1</v>
      </c>
      <c r="H520" s="2">
        <f>IF(G520=Training_Data!F520,1,0)</f>
        <v>0</v>
      </c>
    </row>
    <row r="521" spans="1:8" x14ac:dyDescent="0.2">
      <c r="A521" s="2">
        <f>$L$2+SUMPRODUCT($M$2:$Q$2,Training_Data!A521:E521)</f>
        <v>1033.547</v>
      </c>
      <c r="B521" s="2">
        <f t="shared" si="48"/>
        <v>1033.547</v>
      </c>
      <c r="C521" s="2">
        <f t="shared" si="49"/>
        <v>100</v>
      </c>
      <c r="D521" s="2">
        <f t="shared" si="50"/>
        <v>1</v>
      </c>
      <c r="E521" s="2">
        <f t="shared" si="51"/>
        <v>1</v>
      </c>
      <c r="F521" s="2">
        <f t="shared" si="52"/>
        <v>0.99</v>
      </c>
      <c r="G521" s="2">
        <f t="shared" si="53"/>
        <v>1</v>
      </c>
      <c r="H521" s="2">
        <f>IF(G521=Training_Data!F521,1,0)</f>
        <v>0</v>
      </c>
    </row>
    <row r="522" spans="1:8" x14ac:dyDescent="0.2">
      <c r="A522" s="2">
        <f>$L$2+SUMPRODUCT($M$2:$Q$2,Training_Data!A522:E522)</f>
        <v>188.12199999999999</v>
      </c>
      <c r="B522" s="2">
        <f t="shared" si="48"/>
        <v>188.12199999999999</v>
      </c>
      <c r="C522" s="2">
        <f t="shared" si="49"/>
        <v>100</v>
      </c>
      <c r="D522" s="2">
        <f t="shared" si="50"/>
        <v>1</v>
      </c>
      <c r="E522" s="2">
        <f t="shared" si="51"/>
        <v>1</v>
      </c>
      <c r="F522" s="2">
        <f t="shared" si="52"/>
        <v>0.99</v>
      </c>
      <c r="G522" s="2">
        <f t="shared" si="53"/>
        <v>1</v>
      </c>
      <c r="H522" s="2">
        <f>IF(G522=Training_Data!F522,1,0)</f>
        <v>0</v>
      </c>
    </row>
    <row r="523" spans="1:8" x14ac:dyDescent="0.2">
      <c r="A523" s="2">
        <f>$L$2+SUMPRODUCT($M$2:$Q$2,Training_Data!A523:E523)</f>
        <v>614.625</v>
      </c>
      <c r="B523" s="2">
        <f t="shared" si="48"/>
        <v>614.625</v>
      </c>
      <c r="C523" s="2">
        <f t="shared" si="49"/>
        <v>100</v>
      </c>
      <c r="D523" s="2">
        <f t="shared" si="50"/>
        <v>1</v>
      </c>
      <c r="E523" s="2">
        <f t="shared" si="51"/>
        <v>1</v>
      </c>
      <c r="F523" s="2">
        <f t="shared" si="52"/>
        <v>0.99</v>
      </c>
      <c r="G523" s="2">
        <f t="shared" si="53"/>
        <v>1</v>
      </c>
      <c r="H523" s="2">
        <f>IF(G523=Training_Data!F523,1,0)</f>
        <v>0</v>
      </c>
    </row>
    <row r="524" spans="1:8" x14ac:dyDescent="0.2">
      <c r="A524" s="2">
        <f>$L$2+SUMPRODUCT($M$2:$Q$2,Training_Data!A524:E524)</f>
        <v>192.5</v>
      </c>
      <c r="B524" s="2">
        <f t="shared" si="48"/>
        <v>192.5</v>
      </c>
      <c r="C524" s="2">
        <f t="shared" si="49"/>
        <v>100</v>
      </c>
      <c r="D524" s="2">
        <f t="shared" si="50"/>
        <v>1</v>
      </c>
      <c r="E524" s="2">
        <f t="shared" si="51"/>
        <v>1</v>
      </c>
      <c r="F524" s="2">
        <f t="shared" si="52"/>
        <v>0.99</v>
      </c>
      <c r="G524" s="2">
        <f t="shared" si="53"/>
        <v>1</v>
      </c>
      <c r="H524" s="2">
        <f>IF(G524=Training_Data!F524,1,0)</f>
        <v>0</v>
      </c>
    </row>
    <row r="525" spans="1:8" x14ac:dyDescent="0.2">
      <c r="A525" s="2">
        <f>$L$2+SUMPRODUCT($M$2:$Q$2,Training_Data!A525:E525)</f>
        <v>242.43799999999999</v>
      </c>
      <c r="B525" s="2">
        <f t="shared" si="48"/>
        <v>242.43799999999999</v>
      </c>
      <c r="C525" s="2">
        <f t="shared" si="49"/>
        <v>100</v>
      </c>
      <c r="D525" s="2">
        <f t="shared" si="50"/>
        <v>1</v>
      </c>
      <c r="E525" s="2">
        <f t="shared" si="51"/>
        <v>1</v>
      </c>
      <c r="F525" s="2">
        <f t="shared" si="52"/>
        <v>0.99</v>
      </c>
      <c r="G525" s="2">
        <f t="shared" si="53"/>
        <v>1</v>
      </c>
      <c r="H525" s="2">
        <f>IF(G525=Training_Data!F525,1,0)</f>
        <v>0</v>
      </c>
    </row>
    <row r="526" spans="1:8" x14ac:dyDescent="0.2">
      <c r="A526" s="2">
        <f>$L$2+SUMPRODUCT($M$2:$Q$2,Training_Data!A526:E526)</f>
        <v>242.01600000000002</v>
      </c>
      <c r="B526" s="2">
        <f t="shared" si="48"/>
        <v>242.01600000000002</v>
      </c>
      <c r="C526" s="2">
        <f t="shared" si="49"/>
        <v>100</v>
      </c>
      <c r="D526" s="2">
        <f t="shared" si="50"/>
        <v>1</v>
      </c>
      <c r="E526" s="2">
        <f t="shared" si="51"/>
        <v>1</v>
      </c>
      <c r="F526" s="2">
        <f t="shared" si="52"/>
        <v>0.99</v>
      </c>
      <c r="G526" s="2">
        <f t="shared" si="53"/>
        <v>1</v>
      </c>
      <c r="H526" s="2">
        <f>IF(G526=Training_Data!F526,1,0)</f>
        <v>0</v>
      </c>
    </row>
    <row r="527" spans="1:8" x14ac:dyDescent="0.2">
      <c r="A527" s="2">
        <f>$L$2+SUMPRODUCT($M$2:$Q$2,Training_Data!A527:E527)</f>
        <v>-8.2250000000000014</v>
      </c>
      <c r="B527" s="2">
        <f t="shared" si="48"/>
        <v>-8.2250000000000014</v>
      </c>
      <c r="C527" s="2">
        <f t="shared" si="49"/>
        <v>-8.2250000000000014</v>
      </c>
      <c r="D527" s="2">
        <f t="shared" si="50"/>
        <v>2.67800612788541E-4</v>
      </c>
      <c r="E527" s="2">
        <f t="shared" si="51"/>
        <v>0.01</v>
      </c>
      <c r="F527" s="2">
        <f t="shared" si="52"/>
        <v>0.01</v>
      </c>
      <c r="G527" s="2">
        <f t="shared" si="53"/>
        <v>0</v>
      </c>
      <c r="H527" s="2">
        <f>IF(G527=Training_Data!F527,1,0)</f>
        <v>1</v>
      </c>
    </row>
    <row r="528" spans="1:8" x14ac:dyDescent="0.2">
      <c r="A528" s="2">
        <f>$L$2+SUMPRODUCT($M$2:$Q$2,Training_Data!A528:E528)</f>
        <v>1370.0150000000001</v>
      </c>
      <c r="B528" s="2">
        <f t="shared" si="48"/>
        <v>1370.0150000000001</v>
      </c>
      <c r="C528" s="2">
        <f t="shared" si="49"/>
        <v>100</v>
      </c>
      <c r="D528" s="2">
        <f t="shared" si="50"/>
        <v>1</v>
      </c>
      <c r="E528" s="2">
        <f t="shared" si="51"/>
        <v>1</v>
      </c>
      <c r="F528" s="2">
        <f t="shared" si="52"/>
        <v>0.99</v>
      </c>
      <c r="G528" s="2">
        <f t="shared" si="53"/>
        <v>1</v>
      </c>
      <c r="H528" s="2">
        <f>IF(G528=Training_Data!F528,1,0)</f>
        <v>0</v>
      </c>
    </row>
    <row r="529" spans="1:8" x14ac:dyDescent="0.2">
      <c r="A529" s="2">
        <f>$L$2+SUMPRODUCT($M$2:$Q$2,Training_Data!A529:E529)</f>
        <v>1296.2470000000001</v>
      </c>
      <c r="B529" s="2">
        <f t="shared" si="48"/>
        <v>1296.2470000000001</v>
      </c>
      <c r="C529" s="2">
        <f t="shared" si="49"/>
        <v>100</v>
      </c>
      <c r="D529" s="2">
        <f t="shared" si="50"/>
        <v>1</v>
      </c>
      <c r="E529" s="2">
        <f t="shared" si="51"/>
        <v>1</v>
      </c>
      <c r="F529" s="2">
        <f t="shared" si="52"/>
        <v>0.99</v>
      </c>
      <c r="G529" s="2">
        <f t="shared" si="53"/>
        <v>1</v>
      </c>
      <c r="H529" s="2">
        <f>IF(G529=Training_Data!F529,1,0)</f>
        <v>1</v>
      </c>
    </row>
    <row r="530" spans="1:8" x14ac:dyDescent="0.2">
      <c r="A530" s="2">
        <f>$L$2+SUMPRODUCT($M$2:$Q$2,Training_Data!A530:E530)</f>
        <v>13447.597000000002</v>
      </c>
      <c r="B530" s="2">
        <f t="shared" si="48"/>
        <v>13447.597000000002</v>
      </c>
      <c r="C530" s="2">
        <f t="shared" si="49"/>
        <v>100</v>
      </c>
      <c r="D530" s="2">
        <f t="shared" si="50"/>
        <v>1</v>
      </c>
      <c r="E530" s="2">
        <f t="shared" si="51"/>
        <v>1</v>
      </c>
      <c r="F530" s="2">
        <f t="shared" si="52"/>
        <v>0.99</v>
      </c>
      <c r="G530" s="2">
        <f t="shared" si="53"/>
        <v>1</v>
      </c>
      <c r="H530" s="2">
        <f>IF(G530=Training_Data!F530,1,0)</f>
        <v>1</v>
      </c>
    </row>
    <row r="531" spans="1:8" x14ac:dyDescent="0.2">
      <c r="A531" s="2">
        <f>$L$2+SUMPRODUCT($M$2:$Q$2,Training_Data!A531:E531)</f>
        <v>159.40299999999999</v>
      </c>
      <c r="B531" s="2">
        <f t="shared" si="48"/>
        <v>159.40299999999999</v>
      </c>
      <c r="C531" s="2">
        <f t="shared" si="49"/>
        <v>100</v>
      </c>
      <c r="D531" s="2">
        <f t="shared" si="50"/>
        <v>1</v>
      </c>
      <c r="E531" s="2">
        <f t="shared" si="51"/>
        <v>1</v>
      </c>
      <c r="F531" s="2">
        <f t="shared" si="52"/>
        <v>0.99</v>
      </c>
      <c r="G531" s="2">
        <f t="shared" si="53"/>
        <v>1</v>
      </c>
      <c r="H531" s="2">
        <f>IF(G531=Training_Data!F531,1,0)</f>
        <v>1</v>
      </c>
    </row>
    <row r="532" spans="1:8" x14ac:dyDescent="0.2">
      <c r="A532" s="2">
        <f>$L$2+SUMPRODUCT($M$2:$Q$2,Training_Data!A532:E532)</f>
        <v>356.41300000000001</v>
      </c>
      <c r="B532" s="2">
        <f t="shared" si="48"/>
        <v>356.41300000000001</v>
      </c>
      <c r="C532" s="2">
        <f t="shared" si="49"/>
        <v>100</v>
      </c>
      <c r="D532" s="2">
        <f t="shared" si="50"/>
        <v>1</v>
      </c>
      <c r="E532" s="2">
        <f t="shared" si="51"/>
        <v>1</v>
      </c>
      <c r="F532" s="2">
        <f t="shared" si="52"/>
        <v>0.99</v>
      </c>
      <c r="G532" s="2">
        <f t="shared" si="53"/>
        <v>1</v>
      </c>
      <c r="H532" s="2">
        <f>IF(G532=Training_Data!F532,1,0)</f>
        <v>1</v>
      </c>
    </row>
    <row r="533" spans="1:8" x14ac:dyDescent="0.2">
      <c r="A533" s="2">
        <f>$L$2+SUMPRODUCT($M$2:$Q$2,Training_Data!A533:E533)</f>
        <v>3977.3029999999999</v>
      </c>
      <c r="B533" s="2">
        <f t="shared" si="48"/>
        <v>3977.3029999999999</v>
      </c>
      <c r="C533" s="2">
        <f t="shared" si="49"/>
        <v>100</v>
      </c>
      <c r="D533" s="2">
        <f t="shared" si="50"/>
        <v>1</v>
      </c>
      <c r="E533" s="2">
        <f t="shared" si="51"/>
        <v>1</v>
      </c>
      <c r="F533" s="2">
        <f t="shared" si="52"/>
        <v>0.99</v>
      </c>
      <c r="G533" s="2">
        <f t="shared" si="53"/>
        <v>1</v>
      </c>
      <c r="H533" s="2">
        <f>IF(G533=Training_Data!F533,1,0)</f>
        <v>1</v>
      </c>
    </row>
    <row r="534" spans="1:8" x14ac:dyDescent="0.2">
      <c r="A534" s="2">
        <f>$L$2+SUMPRODUCT($M$2:$Q$2,Training_Data!A534:E534)</f>
        <v>444.9</v>
      </c>
      <c r="B534" s="2">
        <f t="shared" si="48"/>
        <v>444.9</v>
      </c>
      <c r="C534" s="2">
        <f t="shared" si="49"/>
        <v>100</v>
      </c>
      <c r="D534" s="2">
        <f t="shared" si="50"/>
        <v>1</v>
      </c>
      <c r="E534" s="2">
        <f t="shared" si="51"/>
        <v>1</v>
      </c>
      <c r="F534" s="2">
        <f t="shared" si="52"/>
        <v>0.99</v>
      </c>
      <c r="G534" s="2">
        <f t="shared" si="53"/>
        <v>1</v>
      </c>
      <c r="H534" s="2">
        <f>IF(G534=Training_Data!F534,1,0)</f>
        <v>1</v>
      </c>
    </row>
    <row r="535" spans="1:8" x14ac:dyDescent="0.2">
      <c r="A535" s="2">
        <f>$L$2+SUMPRODUCT($M$2:$Q$2,Training_Data!A535:E535)</f>
        <v>4783.2150000000001</v>
      </c>
      <c r="B535" s="2">
        <f t="shared" si="48"/>
        <v>4783.2150000000001</v>
      </c>
      <c r="C535" s="2">
        <f t="shared" si="49"/>
        <v>100</v>
      </c>
      <c r="D535" s="2">
        <f t="shared" si="50"/>
        <v>1</v>
      </c>
      <c r="E535" s="2">
        <f t="shared" si="51"/>
        <v>1</v>
      </c>
      <c r="F535" s="2">
        <f t="shared" si="52"/>
        <v>0.99</v>
      </c>
      <c r="G535" s="2">
        <f t="shared" si="53"/>
        <v>1</v>
      </c>
      <c r="H535" s="2">
        <f>IF(G535=Training_Data!F535,1,0)</f>
        <v>1</v>
      </c>
    </row>
    <row r="536" spans="1:8" x14ac:dyDescent="0.2">
      <c r="A536" s="2">
        <f>$L$2+SUMPRODUCT($M$2:$Q$2,Training_Data!A536:E536)</f>
        <v>1037.8220000000001</v>
      </c>
      <c r="B536" s="2">
        <f t="shared" si="48"/>
        <v>1037.8220000000001</v>
      </c>
      <c r="C536" s="2">
        <f t="shared" si="49"/>
        <v>100</v>
      </c>
      <c r="D536" s="2">
        <f t="shared" si="50"/>
        <v>1</v>
      </c>
      <c r="E536" s="2">
        <f t="shared" si="51"/>
        <v>1</v>
      </c>
      <c r="F536" s="2">
        <f t="shared" si="52"/>
        <v>0.99</v>
      </c>
      <c r="G536" s="2">
        <f t="shared" si="53"/>
        <v>1</v>
      </c>
      <c r="H536" s="2">
        <f>IF(G536=Training_Data!F536,1,0)</f>
        <v>1</v>
      </c>
    </row>
    <row r="537" spans="1:8" x14ac:dyDescent="0.2">
      <c r="A537" s="2">
        <f>$L$2+SUMPRODUCT($M$2:$Q$2,Training_Data!A537:E537)</f>
        <v>3287.8740000000003</v>
      </c>
      <c r="B537" s="2">
        <f t="shared" si="48"/>
        <v>3287.8740000000003</v>
      </c>
      <c r="C537" s="2">
        <f t="shared" si="49"/>
        <v>100</v>
      </c>
      <c r="D537" s="2">
        <f t="shared" si="50"/>
        <v>1</v>
      </c>
      <c r="E537" s="2">
        <f t="shared" si="51"/>
        <v>1</v>
      </c>
      <c r="F537" s="2">
        <f t="shared" si="52"/>
        <v>0.99</v>
      </c>
      <c r="G537" s="2">
        <f t="shared" si="53"/>
        <v>1</v>
      </c>
      <c r="H537" s="2">
        <f>IF(G537=Training_Data!F537,1,0)</f>
        <v>1</v>
      </c>
    </row>
    <row r="538" spans="1:8" x14ac:dyDescent="0.2">
      <c r="A538" s="2">
        <f>$L$2+SUMPRODUCT($M$2:$Q$2,Training_Data!A538:E538)</f>
        <v>430.47800000000001</v>
      </c>
      <c r="B538" s="2">
        <f t="shared" si="48"/>
        <v>430.47800000000001</v>
      </c>
      <c r="C538" s="2">
        <f t="shared" si="49"/>
        <v>100</v>
      </c>
      <c r="D538" s="2">
        <f t="shared" si="50"/>
        <v>1</v>
      </c>
      <c r="E538" s="2">
        <f t="shared" si="51"/>
        <v>1</v>
      </c>
      <c r="F538" s="2">
        <f t="shared" si="52"/>
        <v>0.99</v>
      </c>
      <c r="G538" s="2">
        <f t="shared" si="53"/>
        <v>1</v>
      </c>
      <c r="H538" s="2">
        <f>IF(G538=Training_Data!F538,1,0)</f>
        <v>1</v>
      </c>
    </row>
    <row r="539" spans="1:8" x14ac:dyDescent="0.2">
      <c r="A539" s="2">
        <f>$L$2+SUMPRODUCT($M$2:$Q$2,Training_Data!A539:E539)</f>
        <v>6789.7120000000004</v>
      </c>
      <c r="B539" s="2">
        <f t="shared" si="48"/>
        <v>6789.7120000000004</v>
      </c>
      <c r="C539" s="2">
        <f t="shared" si="49"/>
        <v>100</v>
      </c>
      <c r="D539" s="2">
        <f t="shared" si="50"/>
        <v>1</v>
      </c>
      <c r="E539" s="2">
        <f t="shared" si="51"/>
        <v>1</v>
      </c>
      <c r="F539" s="2">
        <f t="shared" si="52"/>
        <v>0.99</v>
      </c>
      <c r="G539" s="2">
        <f t="shared" si="53"/>
        <v>1</v>
      </c>
      <c r="H539" s="2">
        <f>IF(G539=Training_Data!F539,1,0)</f>
        <v>1</v>
      </c>
    </row>
    <row r="540" spans="1:8" x14ac:dyDescent="0.2">
      <c r="A540" s="2">
        <f>$L$2+SUMPRODUCT($M$2:$Q$2,Training_Data!A540:E540)</f>
        <v>9558.5820000000003</v>
      </c>
      <c r="B540" s="2">
        <f t="shared" si="48"/>
        <v>9558.5820000000003</v>
      </c>
      <c r="C540" s="2">
        <f t="shared" si="49"/>
        <v>100</v>
      </c>
      <c r="D540" s="2">
        <f t="shared" si="50"/>
        <v>1</v>
      </c>
      <c r="E540" s="2">
        <f t="shared" si="51"/>
        <v>1</v>
      </c>
      <c r="F540" s="2">
        <f t="shared" si="52"/>
        <v>0.99</v>
      </c>
      <c r="G540" s="2">
        <f t="shared" si="53"/>
        <v>1</v>
      </c>
      <c r="H540" s="2">
        <f>IF(G540=Training_Data!F540,1,0)</f>
        <v>1</v>
      </c>
    </row>
    <row r="541" spans="1:8" x14ac:dyDescent="0.2">
      <c r="A541" s="2">
        <f>$L$2+SUMPRODUCT($M$2:$Q$2,Training_Data!A541:E541)</f>
        <v>7804.1130000000003</v>
      </c>
      <c r="B541" s="2">
        <f t="shared" si="48"/>
        <v>7804.1130000000003</v>
      </c>
      <c r="C541" s="2">
        <f t="shared" si="49"/>
        <v>100</v>
      </c>
      <c r="D541" s="2">
        <f t="shared" si="50"/>
        <v>1</v>
      </c>
      <c r="E541" s="2">
        <f t="shared" si="51"/>
        <v>1</v>
      </c>
      <c r="F541" s="2">
        <f t="shared" si="52"/>
        <v>0.99</v>
      </c>
      <c r="G541" s="2">
        <f t="shared" si="53"/>
        <v>1</v>
      </c>
      <c r="H541" s="2">
        <f>IF(G541=Training_Data!F541,1,0)</f>
        <v>1</v>
      </c>
    </row>
    <row r="542" spans="1:8" x14ac:dyDescent="0.2">
      <c r="A542" s="2">
        <f>$L$2+SUMPRODUCT($M$2:$Q$2,Training_Data!A542:E542)</f>
        <v>2001.2260000000003</v>
      </c>
      <c r="B542" s="2">
        <f t="shared" si="48"/>
        <v>2001.2260000000003</v>
      </c>
      <c r="C542" s="2">
        <f t="shared" si="49"/>
        <v>100</v>
      </c>
      <c r="D542" s="2">
        <f t="shared" si="50"/>
        <v>1</v>
      </c>
      <c r="E542" s="2">
        <f t="shared" si="51"/>
        <v>1</v>
      </c>
      <c r="F542" s="2">
        <f t="shared" si="52"/>
        <v>0.99</v>
      </c>
      <c r="G542" s="2">
        <f t="shared" si="53"/>
        <v>1</v>
      </c>
      <c r="H542" s="2">
        <f>IF(G542=Training_Data!F542,1,0)</f>
        <v>1</v>
      </c>
    </row>
    <row r="543" spans="1:8" x14ac:dyDescent="0.2">
      <c r="A543" s="2">
        <f>$L$2+SUMPRODUCT($M$2:$Q$2,Training_Data!A543:E543)</f>
        <v>16938.950000000004</v>
      </c>
      <c r="B543" s="2">
        <f t="shared" si="48"/>
        <v>16938.950000000004</v>
      </c>
      <c r="C543" s="2">
        <f t="shared" si="49"/>
        <v>100</v>
      </c>
      <c r="D543" s="2">
        <f t="shared" si="50"/>
        <v>1</v>
      </c>
      <c r="E543" s="2">
        <f t="shared" si="51"/>
        <v>1</v>
      </c>
      <c r="F543" s="2">
        <f t="shared" si="52"/>
        <v>0.99</v>
      </c>
      <c r="G543" s="2">
        <f t="shared" si="53"/>
        <v>1</v>
      </c>
      <c r="H543" s="2">
        <f>IF(G543=Training_Data!F543,1,0)</f>
        <v>1</v>
      </c>
    </row>
    <row r="544" spans="1:8" x14ac:dyDescent="0.2">
      <c r="A544" s="2">
        <f>$L$2+SUMPRODUCT($M$2:$Q$2,Training_Data!A544:E544)</f>
        <v>1178.1500000000001</v>
      </c>
      <c r="B544" s="2">
        <f t="shared" si="48"/>
        <v>1178.1500000000001</v>
      </c>
      <c r="C544" s="2">
        <f t="shared" si="49"/>
        <v>100</v>
      </c>
      <c r="D544" s="2">
        <f t="shared" si="50"/>
        <v>1</v>
      </c>
      <c r="E544" s="2">
        <f t="shared" si="51"/>
        <v>1</v>
      </c>
      <c r="F544" s="2">
        <f t="shared" si="52"/>
        <v>0.99</v>
      </c>
      <c r="G544" s="2">
        <f t="shared" si="53"/>
        <v>1</v>
      </c>
      <c r="H544" s="2">
        <f>IF(G544=Training_Data!F544,1,0)</f>
        <v>1</v>
      </c>
    </row>
    <row r="545" spans="1:8" x14ac:dyDescent="0.2">
      <c r="A545" s="2">
        <f>$L$2+SUMPRODUCT($M$2:$Q$2,Training_Data!A545:E545)</f>
        <v>168.71199999999999</v>
      </c>
      <c r="B545" s="2">
        <f t="shared" si="48"/>
        <v>168.71199999999999</v>
      </c>
      <c r="C545" s="2">
        <f t="shared" si="49"/>
        <v>100</v>
      </c>
      <c r="D545" s="2">
        <f t="shared" si="50"/>
        <v>1</v>
      </c>
      <c r="E545" s="2">
        <f t="shared" si="51"/>
        <v>1</v>
      </c>
      <c r="F545" s="2">
        <f t="shared" si="52"/>
        <v>0.99</v>
      </c>
      <c r="G545" s="2">
        <f t="shared" si="53"/>
        <v>1</v>
      </c>
      <c r="H545" s="2">
        <f>IF(G545=Training_Data!F545,1,0)</f>
        <v>1</v>
      </c>
    </row>
    <row r="546" spans="1:8" x14ac:dyDescent="0.2">
      <c r="A546" s="2">
        <f>$L$2+SUMPRODUCT($M$2:$Q$2,Training_Data!A546:E546)</f>
        <v>120.38500000000001</v>
      </c>
      <c r="B546" s="2">
        <f t="shared" si="48"/>
        <v>120.38500000000001</v>
      </c>
      <c r="C546" s="2">
        <f t="shared" si="49"/>
        <v>100</v>
      </c>
      <c r="D546" s="2">
        <f t="shared" si="50"/>
        <v>1</v>
      </c>
      <c r="E546" s="2">
        <f t="shared" si="51"/>
        <v>1</v>
      </c>
      <c r="F546" s="2">
        <f t="shared" si="52"/>
        <v>0.99</v>
      </c>
      <c r="G546" s="2">
        <f t="shared" si="53"/>
        <v>1</v>
      </c>
      <c r="H546" s="2">
        <f>IF(G546=Training_Data!F546,1,0)</f>
        <v>1</v>
      </c>
    </row>
    <row r="547" spans="1:8" x14ac:dyDescent="0.2">
      <c r="A547" s="2">
        <f>$L$2+SUMPRODUCT($M$2:$Q$2,Training_Data!A547:E547)</f>
        <v>122.625</v>
      </c>
      <c r="B547" s="2">
        <f t="shared" si="48"/>
        <v>122.625</v>
      </c>
      <c r="C547" s="2">
        <f t="shared" si="49"/>
        <v>100</v>
      </c>
      <c r="D547" s="2">
        <f t="shared" si="50"/>
        <v>1</v>
      </c>
      <c r="E547" s="2">
        <f t="shared" si="51"/>
        <v>1</v>
      </c>
      <c r="F547" s="2">
        <f t="shared" si="52"/>
        <v>0.99</v>
      </c>
      <c r="G547" s="2">
        <f t="shared" si="53"/>
        <v>1</v>
      </c>
      <c r="H547" s="2">
        <f>IF(G547=Training_Data!F547,1,0)</f>
        <v>1</v>
      </c>
    </row>
    <row r="548" spans="1:8" x14ac:dyDescent="0.2">
      <c r="A548" s="2">
        <f>$L$2+SUMPRODUCT($M$2:$Q$2,Training_Data!A548:E548)</f>
        <v>1298.8530000000001</v>
      </c>
      <c r="B548" s="2">
        <f t="shared" si="48"/>
        <v>1298.8530000000001</v>
      </c>
      <c r="C548" s="2">
        <f t="shared" si="49"/>
        <v>100</v>
      </c>
      <c r="D548" s="2">
        <f t="shared" si="50"/>
        <v>1</v>
      </c>
      <c r="E548" s="2">
        <f t="shared" si="51"/>
        <v>1</v>
      </c>
      <c r="F548" s="2">
        <f t="shared" si="52"/>
        <v>0.99</v>
      </c>
      <c r="G548" s="2">
        <f t="shared" si="53"/>
        <v>1</v>
      </c>
      <c r="H548" s="2">
        <f>IF(G548=Training_Data!F548,1,0)</f>
        <v>1</v>
      </c>
    </row>
    <row r="549" spans="1:8" x14ac:dyDescent="0.2">
      <c r="A549" s="2">
        <f>$L$2+SUMPRODUCT($M$2:$Q$2,Training_Data!A549:E549)</f>
        <v>457.947</v>
      </c>
      <c r="B549" s="2">
        <f t="shared" si="48"/>
        <v>457.947</v>
      </c>
      <c r="C549" s="2">
        <f t="shared" si="49"/>
        <v>100</v>
      </c>
      <c r="D549" s="2">
        <f t="shared" si="50"/>
        <v>1</v>
      </c>
      <c r="E549" s="2">
        <f t="shared" si="51"/>
        <v>1</v>
      </c>
      <c r="F549" s="2">
        <f t="shared" si="52"/>
        <v>0.99</v>
      </c>
      <c r="G549" s="2">
        <f t="shared" si="53"/>
        <v>1</v>
      </c>
      <c r="H549" s="2">
        <f>IF(G549=Training_Data!F549,1,0)</f>
        <v>1</v>
      </c>
    </row>
    <row r="550" spans="1:8" x14ac:dyDescent="0.2">
      <c r="A550" s="2">
        <f>$L$2+SUMPRODUCT($M$2:$Q$2,Training_Data!A550:E550)</f>
        <v>875.82799999999997</v>
      </c>
      <c r="B550" s="2">
        <f t="shared" si="48"/>
        <v>875.82799999999997</v>
      </c>
      <c r="C550" s="2">
        <f t="shared" si="49"/>
        <v>100</v>
      </c>
      <c r="D550" s="2">
        <f t="shared" si="50"/>
        <v>1</v>
      </c>
      <c r="E550" s="2">
        <f t="shared" si="51"/>
        <v>1</v>
      </c>
      <c r="F550" s="2">
        <f t="shared" si="52"/>
        <v>0.99</v>
      </c>
      <c r="G550" s="2">
        <f t="shared" si="53"/>
        <v>1</v>
      </c>
      <c r="H550" s="2">
        <f>IF(G550=Training_Data!F550,1,0)</f>
        <v>1</v>
      </c>
    </row>
    <row r="551" spans="1:8" x14ac:dyDescent="0.2">
      <c r="A551" s="2">
        <f>$L$2+SUMPRODUCT($M$2:$Q$2,Training_Data!A551:E551)</f>
        <v>5041.4880000000003</v>
      </c>
      <c r="B551" s="2">
        <f t="shared" si="48"/>
        <v>5041.4880000000003</v>
      </c>
      <c r="C551" s="2">
        <f t="shared" si="49"/>
        <v>100</v>
      </c>
      <c r="D551" s="2">
        <f t="shared" si="50"/>
        <v>1</v>
      </c>
      <c r="E551" s="2">
        <f t="shared" si="51"/>
        <v>1</v>
      </c>
      <c r="F551" s="2">
        <f t="shared" si="52"/>
        <v>0.99</v>
      </c>
      <c r="G551" s="2">
        <f t="shared" si="53"/>
        <v>1</v>
      </c>
      <c r="H551" s="2">
        <f>IF(G551=Training_Data!F551,1,0)</f>
        <v>1</v>
      </c>
    </row>
    <row r="552" spans="1:8" x14ac:dyDescent="0.2">
      <c r="A552" s="2">
        <f>$L$2+SUMPRODUCT($M$2:$Q$2,Training_Data!A552:E552)</f>
        <v>223.95000000000002</v>
      </c>
      <c r="B552" s="2">
        <f t="shared" si="48"/>
        <v>223.95000000000002</v>
      </c>
      <c r="C552" s="2">
        <f t="shared" si="49"/>
        <v>100</v>
      </c>
      <c r="D552" s="2">
        <f t="shared" si="50"/>
        <v>1</v>
      </c>
      <c r="E552" s="2">
        <f t="shared" si="51"/>
        <v>1</v>
      </c>
      <c r="F552" s="2">
        <f t="shared" si="52"/>
        <v>0.99</v>
      </c>
      <c r="G552" s="2">
        <f t="shared" si="53"/>
        <v>1</v>
      </c>
      <c r="H552" s="2">
        <f>IF(G552=Training_Data!F552,1,0)</f>
        <v>1</v>
      </c>
    </row>
    <row r="553" spans="1:8" x14ac:dyDescent="0.2">
      <c r="A553" s="2">
        <f>$L$2+SUMPRODUCT($M$2:$Q$2,Training_Data!A553:E553)</f>
        <v>205.55299999999997</v>
      </c>
      <c r="B553" s="2">
        <f t="shared" si="48"/>
        <v>205.55299999999997</v>
      </c>
      <c r="C553" s="2">
        <f t="shared" si="49"/>
        <v>100</v>
      </c>
      <c r="D553" s="2">
        <f t="shared" si="50"/>
        <v>1</v>
      </c>
      <c r="E553" s="2">
        <f t="shared" si="51"/>
        <v>1</v>
      </c>
      <c r="F553" s="2">
        <f t="shared" si="52"/>
        <v>0.99</v>
      </c>
      <c r="G553" s="2">
        <f t="shared" si="53"/>
        <v>1</v>
      </c>
      <c r="H553" s="2">
        <f>IF(G553=Training_Data!F553,1,0)</f>
        <v>1</v>
      </c>
    </row>
    <row r="554" spans="1:8" x14ac:dyDescent="0.2">
      <c r="A554" s="2">
        <f>$L$2+SUMPRODUCT($M$2:$Q$2,Training_Data!A554:E554)</f>
        <v>1267.0319999999999</v>
      </c>
      <c r="B554" s="2">
        <f t="shared" si="48"/>
        <v>1267.0319999999999</v>
      </c>
      <c r="C554" s="2">
        <f t="shared" si="49"/>
        <v>100</v>
      </c>
      <c r="D554" s="2">
        <f t="shared" si="50"/>
        <v>1</v>
      </c>
      <c r="E554" s="2">
        <f t="shared" si="51"/>
        <v>1</v>
      </c>
      <c r="F554" s="2">
        <f t="shared" si="52"/>
        <v>0.99</v>
      </c>
      <c r="G554" s="2">
        <f t="shared" si="53"/>
        <v>1</v>
      </c>
      <c r="H554" s="2">
        <f>IF(G554=Training_Data!F554,1,0)</f>
        <v>1</v>
      </c>
    </row>
    <row r="555" spans="1:8" x14ac:dyDescent="0.2">
      <c r="A555" s="2">
        <f>$L$2+SUMPRODUCT($M$2:$Q$2,Training_Data!A555:E555)</f>
        <v>4456.8469999999998</v>
      </c>
      <c r="B555" s="2">
        <f t="shared" si="48"/>
        <v>4456.8469999999998</v>
      </c>
      <c r="C555" s="2">
        <f t="shared" si="49"/>
        <v>100</v>
      </c>
      <c r="D555" s="2">
        <f t="shared" si="50"/>
        <v>1</v>
      </c>
      <c r="E555" s="2">
        <f t="shared" si="51"/>
        <v>1</v>
      </c>
      <c r="F555" s="2">
        <f t="shared" si="52"/>
        <v>0.99</v>
      </c>
      <c r="G555" s="2">
        <f t="shared" si="53"/>
        <v>1</v>
      </c>
      <c r="H555" s="2">
        <f>IF(G555=Training_Data!F555,1,0)</f>
        <v>1</v>
      </c>
    </row>
    <row r="556" spans="1:8" x14ac:dyDescent="0.2">
      <c r="A556" s="2">
        <f>$L$2+SUMPRODUCT($M$2:$Q$2,Training_Data!A556:E556)</f>
        <v>4763.2029999999995</v>
      </c>
      <c r="B556" s="2">
        <f t="shared" si="48"/>
        <v>4763.2029999999995</v>
      </c>
      <c r="C556" s="2">
        <f t="shared" si="49"/>
        <v>100</v>
      </c>
      <c r="D556" s="2">
        <f t="shared" si="50"/>
        <v>1</v>
      </c>
      <c r="E556" s="2">
        <f t="shared" si="51"/>
        <v>1</v>
      </c>
      <c r="F556" s="2">
        <f t="shared" si="52"/>
        <v>0.99</v>
      </c>
      <c r="G556" s="2">
        <f t="shared" si="53"/>
        <v>1</v>
      </c>
      <c r="H556" s="2">
        <f>IF(G556=Training_Data!F556,1,0)</f>
        <v>1</v>
      </c>
    </row>
    <row r="557" spans="1:8" x14ac:dyDescent="0.2">
      <c r="A557" s="2">
        <f>$L$2+SUMPRODUCT($M$2:$Q$2,Training_Data!A557:E557)</f>
        <v>26143.488000000001</v>
      </c>
      <c r="B557" s="2">
        <f t="shared" si="48"/>
        <v>26143.488000000001</v>
      </c>
      <c r="C557" s="2">
        <f t="shared" si="49"/>
        <v>100</v>
      </c>
      <c r="D557" s="2">
        <f t="shared" si="50"/>
        <v>1</v>
      </c>
      <c r="E557" s="2">
        <f t="shared" si="51"/>
        <v>1</v>
      </c>
      <c r="F557" s="2">
        <f t="shared" si="52"/>
        <v>0.99</v>
      </c>
      <c r="G557" s="2">
        <f t="shared" si="53"/>
        <v>1</v>
      </c>
      <c r="H557" s="2">
        <f>IF(G557=Training_Data!F557,1,0)</f>
        <v>1</v>
      </c>
    </row>
    <row r="558" spans="1:8" x14ac:dyDescent="0.2">
      <c r="A558" s="2">
        <f>$L$2+SUMPRODUCT($M$2:$Q$2,Training_Data!A558:E558)</f>
        <v>1751.3969999999999</v>
      </c>
      <c r="B558" s="2">
        <f t="shared" si="48"/>
        <v>1751.3969999999999</v>
      </c>
      <c r="C558" s="2">
        <f t="shared" si="49"/>
        <v>100</v>
      </c>
      <c r="D558" s="2">
        <f t="shared" si="50"/>
        <v>1</v>
      </c>
      <c r="E558" s="2">
        <f t="shared" si="51"/>
        <v>1</v>
      </c>
      <c r="F558" s="2">
        <f t="shared" si="52"/>
        <v>0.99</v>
      </c>
      <c r="G558" s="2">
        <f t="shared" si="53"/>
        <v>1</v>
      </c>
      <c r="H558" s="2">
        <f>IF(G558=Training_Data!F558,1,0)</f>
        <v>1</v>
      </c>
    </row>
    <row r="559" spans="1:8" x14ac:dyDescent="0.2">
      <c r="A559" s="2">
        <f>$L$2+SUMPRODUCT($M$2:$Q$2,Training_Data!A559:E559)</f>
        <v>-2.9530000000000012</v>
      </c>
      <c r="B559" s="2">
        <f t="shared" si="48"/>
        <v>-2.9530000000000012</v>
      </c>
      <c r="C559" s="2">
        <f t="shared" si="49"/>
        <v>-2.9530000000000012</v>
      </c>
      <c r="D559" s="2">
        <f t="shared" si="50"/>
        <v>4.9594914559700748E-2</v>
      </c>
      <c r="E559" s="2">
        <f t="shared" si="51"/>
        <v>4.9594914559700748E-2</v>
      </c>
      <c r="F559" s="2">
        <f t="shared" si="52"/>
        <v>4.9594914559700748E-2</v>
      </c>
      <c r="G559" s="2">
        <f t="shared" si="53"/>
        <v>0</v>
      </c>
      <c r="H559" s="2">
        <f>IF(G559=Training_Data!F559,1,0)</f>
        <v>0</v>
      </c>
    </row>
    <row r="560" spans="1:8" x14ac:dyDescent="0.2">
      <c r="A560" s="2">
        <f>$L$2+SUMPRODUCT($M$2:$Q$2,Training_Data!A560:E560)</f>
        <v>15257.522000000001</v>
      </c>
      <c r="B560" s="2">
        <f t="shared" si="48"/>
        <v>15257.522000000001</v>
      </c>
      <c r="C560" s="2">
        <f t="shared" si="49"/>
        <v>100</v>
      </c>
      <c r="D560" s="2">
        <f t="shared" si="50"/>
        <v>1</v>
      </c>
      <c r="E560" s="2">
        <f t="shared" si="51"/>
        <v>1</v>
      </c>
      <c r="F560" s="2">
        <f t="shared" si="52"/>
        <v>0.99</v>
      </c>
      <c r="G560" s="2">
        <f t="shared" si="53"/>
        <v>1</v>
      </c>
      <c r="H560" s="2">
        <f>IF(G560=Training_Data!F560,1,0)</f>
        <v>1</v>
      </c>
    </row>
    <row r="561" spans="1:8" x14ac:dyDescent="0.2">
      <c r="A561" s="2">
        <f>$L$2+SUMPRODUCT($M$2:$Q$2,Training_Data!A561:E561)</f>
        <v>3635.85</v>
      </c>
      <c r="B561" s="2">
        <f t="shared" si="48"/>
        <v>3635.85</v>
      </c>
      <c r="C561" s="2">
        <f t="shared" si="49"/>
        <v>100</v>
      </c>
      <c r="D561" s="2">
        <f t="shared" si="50"/>
        <v>1</v>
      </c>
      <c r="E561" s="2">
        <f t="shared" si="51"/>
        <v>1</v>
      </c>
      <c r="F561" s="2">
        <f t="shared" si="52"/>
        <v>0.99</v>
      </c>
      <c r="G561" s="2">
        <f t="shared" si="53"/>
        <v>1</v>
      </c>
      <c r="H561" s="2">
        <f>IF(G561=Training_Data!F561,1,0)</f>
        <v>1</v>
      </c>
    </row>
    <row r="562" spans="1:8" x14ac:dyDescent="0.2">
      <c r="A562" s="2">
        <f>$L$2+SUMPRODUCT($M$2:$Q$2,Training_Data!A562:E562)</f>
        <v>10902.326000000001</v>
      </c>
      <c r="B562" s="2">
        <f t="shared" si="48"/>
        <v>10902.326000000001</v>
      </c>
      <c r="C562" s="2">
        <f t="shared" si="49"/>
        <v>100</v>
      </c>
      <c r="D562" s="2">
        <f t="shared" si="50"/>
        <v>1</v>
      </c>
      <c r="E562" s="2">
        <f t="shared" si="51"/>
        <v>1</v>
      </c>
      <c r="F562" s="2">
        <f t="shared" si="52"/>
        <v>0.99</v>
      </c>
      <c r="G562" s="2">
        <f t="shared" si="53"/>
        <v>1</v>
      </c>
      <c r="H562" s="2">
        <f>IF(G562=Training_Data!F562,1,0)</f>
        <v>1</v>
      </c>
    </row>
    <row r="563" spans="1:8" x14ac:dyDescent="0.2">
      <c r="A563" s="2">
        <f>$L$2+SUMPRODUCT($M$2:$Q$2,Training_Data!A563:E563)</f>
        <v>695.96</v>
      </c>
      <c r="B563" s="2">
        <f t="shared" si="48"/>
        <v>695.96</v>
      </c>
      <c r="C563" s="2">
        <f t="shared" si="49"/>
        <v>100</v>
      </c>
      <c r="D563" s="2">
        <f t="shared" si="50"/>
        <v>1</v>
      </c>
      <c r="E563" s="2">
        <f t="shared" si="51"/>
        <v>1</v>
      </c>
      <c r="F563" s="2">
        <f t="shared" si="52"/>
        <v>0.99</v>
      </c>
      <c r="G563" s="2">
        <f t="shared" si="53"/>
        <v>1</v>
      </c>
      <c r="H563" s="2">
        <f>IF(G563=Training_Data!F563,1,0)</f>
        <v>1</v>
      </c>
    </row>
    <row r="564" spans="1:8" x14ac:dyDescent="0.2">
      <c r="A564" s="2">
        <f>$L$2+SUMPRODUCT($M$2:$Q$2,Training_Data!A564:E564)</f>
        <v>263.125</v>
      </c>
      <c r="B564" s="2">
        <f t="shared" si="48"/>
        <v>263.125</v>
      </c>
      <c r="C564" s="2">
        <f t="shared" si="49"/>
        <v>100</v>
      </c>
      <c r="D564" s="2">
        <f t="shared" si="50"/>
        <v>1</v>
      </c>
      <c r="E564" s="2">
        <f t="shared" si="51"/>
        <v>1</v>
      </c>
      <c r="F564" s="2">
        <f t="shared" si="52"/>
        <v>0.99</v>
      </c>
      <c r="G564" s="2">
        <f t="shared" si="53"/>
        <v>1</v>
      </c>
      <c r="H564" s="2">
        <f>IF(G564=Training_Data!F564,1,0)</f>
        <v>1</v>
      </c>
    </row>
    <row r="565" spans="1:8" x14ac:dyDescent="0.2">
      <c r="A565" s="2">
        <f>$L$2+SUMPRODUCT($M$2:$Q$2,Training_Data!A565:E565)</f>
        <v>204.74700000000001</v>
      </c>
      <c r="B565" s="2">
        <f t="shared" si="48"/>
        <v>204.74700000000001</v>
      </c>
      <c r="C565" s="2">
        <f t="shared" si="49"/>
        <v>100</v>
      </c>
      <c r="D565" s="2">
        <f t="shared" si="50"/>
        <v>1</v>
      </c>
      <c r="E565" s="2">
        <f t="shared" si="51"/>
        <v>1</v>
      </c>
      <c r="F565" s="2">
        <f t="shared" si="52"/>
        <v>0.99</v>
      </c>
      <c r="G565" s="2">
        <f t="shared" si="53"/>
        <v>1</v>
      </c>
      <c r="H565" s="2">
        <f>IF(G565=Training_Data!F565,1,0)</f>
        <v>1</v>
      </c>
    </row>
    <row r="566" spans="1:8" x14ac:dyDescent="0.2">
      <c r="A566" s="2">
        <f>$L$2+SUMPRODUCT($M$2:$Q$2,Training_Data!A566:E566)</f>
        <v>42290.828000000001</v>
      </c>
      <c r="B566" s="2">
        <f t="shared" si="48"/>
        <v>42290.828000000001</v>
      </c>
      <c r="C566" s="2">
        <f t="shared" si="49"/>
        <v>100</v>
      </c>
      <c r="D566" s="2">
        <f t="shared" si="50"/>
        <v>1</v>
      </c>
      <c r="E566" s="2">
        <f t="shared" si="51"/>
        <v>1</v>
      </c>
      <c r="F566" s="2">
        <f t="shared" si="52"/>
        <v>0.99</v>
      </c>
      <c r="G566" s="2">
        <f t="shared" si="53"/>
        <v>1</v>
      </c>
      <c r="H566" s="2">
        <f>IF(G566=Training_Data!F566,1,0)</f>
        <v>1</v>
      </c>
    </row>
    <row r="567" spans="1:8" x14ac:dyDescent="0.2">
      <c r="A567" s="2">
        <f>$L$2+SUMPRODUCT($M$2:$Q$2,Training_Data!A567:E567)</f>
        <v>-22.327999999999999</v>
      </c>
      <c r="B567" s="2">
        <f t="shared" si="48"/>
        <v>-22.327999999999999</v>
      </c>
      <c r="C567" s="2">
        <f t="shared" si="49"/>
        <v>-22.327999999999999</v>
      </c>
      <c r="D567" s="2">
        <f t="shared" si="50"/>
        <v>2.0094296583468671E-10</v>
      </c>
      <c r="E567" s="2">
        <f t="shared" si="51"/>
        <v>0.01</v>
      </c>
      <c r="F567" s="2">
        <f t="shared" si="52"/>
        <v>0.01</v>
      </c>
      <c r="G567" s="2">
        <f t="shared" si="53"/>
        <v>0</v>
      </c>
      <c r="H567" s="2">
        <f>IF(G567=Training_Data!F567,1,0)</f>
        <v>0</v>
      </c>
    </row>
    <row r="568" spans="1:8" x14ac:dyDescent="0.2">
      <c r="A568" s="2">
        <f>$L$2+SUMPRODUCT($M$2:$Q$2,Training_Data!A568:E568)</f>
        <v>3222.5279999999998</v>
      </c>
      <c r="B568" s="2">
        <f t="shared" si="48"/>
        <v>3222.5279999999998</v>
      </c>
      <c r="C568" s="2">
        <f t="shared" si="49"/>
        <v>100</v>
      </c>
      <c r="D568" s="2">
        <f t="shared" si="50"/>
        <v>1</v>
      </c>
      <c r="E568" s="2">
        <f t="shared" si="51"/>
        <v>1</v>
      </c>
      <c r="F568" s="2">
        <f t="shared" si="52"/>
        <v>0.99</v>
      </c>
      <c r="G568" s="2">
        <f t="shared" si="53"/>
        <v>1</v>
      </c>
      <c r="H568" s="2">
        <f>IF(G568=Training_Data!F568,1,0)</f>
        <v>1</v>
      </c>
    </row>
    <row r="569" spans="1:8" x14ac:dyDescent="0.2">
      <c r="A569" s="2">
        <f>$L$2+SUMPRODUCT($M$2:$Q$2,Training_Data!A569:E569)</f>
        <v>6.5780000000000038</v>
      </c>
      <c r="B569" s="2">
        <f t="shared" si="48"/>
        <v>6.5780000000000038</v>
      </c>
      <c r="C569" s="2">
        <f t="shared" si="49"/>
        <v>6.5780000000000038</v>
      </c>
      <c r="D569" s="2">
        <f t="shared" si="50"/>
        <v>0.99861130338909698</v>
      </c>
      <c r="E569" s="2">
        <f t="shared" si="51"/>
        <v>0.99861130338909698</v>
      </c>
      <c r="F569" s="2">
        <f t="shared" si="52"/>
        <v>0.99</v>
      </c>
      <c r="G569" s="2">
        <f t="shared" si="53"/>
        <v>1</v>
      </c>
      <c r="H569" s="2">
        <f>IF(G569=Training_Data!F569,1,0)</f>
        <v>1</v>
      </c>
    </row>
    <row r="570" spans="1:8" x14ac:dyDescent="0.2">
      <c r="A570" s="2">
        <f>$L$2+SUMPRODUCT($M$2:$Q$2,Training_Data!A570:E570)</f>
        <v>18680.747000000003</v>
      </c>
      <c r="B570" s="2">
        <f t="shared" si="48"/>
        <v>18680.747000000003</v>
      </c>
      <c r="C570" s="2">
        <f t="shared" si="49"/>
        <v>100</v>
      </c>
      <c r="D570" s="2">
        <f t="shared" si="50"/>
        <v>1</v>
      </c>
      <c r="E570" s="2">
        <f t="shared" si="51"/>
        <v>1</v>
      </c>
      <c r="F570" s="2">
        <f t="shared" si="52"/>
        <v>0.99</v>
      </c>
      <c r="G570" s="2">
        <f t="shared" si="53"/>
        <v>1</v>
      </c>
      <c r="H570" s="2">
        <f>IF(G570=Training_Data!F570,1,0)</f>
        <v>1</v>
      </c>
    </row>
    <row r="571" spans="1:8" x14ac:dyDescent="0.2">
      <c r="A571" s="2">
        <f>$L$2+SUMPRODUCT($M$2:$Q$2,Training_Data!A571:E571)</f>
        <v>16505.300999999999</v>
      </c>
      <c r="B571" s="2">
        <f t="shared" si="48"/>
        <v>16505.300999999999</v>
      </c>
      <c r="C571" s="2">
        <f t="shared" si="49"/>
        <v>100</v>
      </c>
      <c r="D571" s="2">
        <f t="shared" si="50"/>
        <v>1</v>
      </c>
      <c r="E571" s="2">
        <f t="shared" si="51"/>
        <v>1</v>
      </c>
      <c r="F571" s="2">
        <f t="shared" si="52"/>
        <v>0.99</v>
      </c>
      <c r="G571" s="2">
        <f t="shared" si="53"/>
        <v>1</v>
      </c>
      <c r="H571" s="2">
        <f>IF(G571=Training_Data!F571,1,0)</f>
        <v>1</v>
      </c>
    </row>
    <row r="572" spans="1:8" x14ac:dyDescent="0.2">
      <c r="A572" s="2">
        <f>$L$2+SUMPRODUCT($M$2:$Q$2,Training_Data!A572:E572)</f>
        <v>4266.4719999999998</v>
      </c>
      <c r="B572" s="2">
        <f t="shared" si="48"/>
        <v>4266.4719999999998</v>
      </c>
      <c r="C572" s="2">
        <f t="shared" si="49"/>
        <v>100</v>
      </c>
      <c r="D572" s="2">
        <f t="shared" si="50"/>
        <v>1</v>
      </c>
      <c r="E572" s="2">
        <f t="shared" si="51"/>
        <v>1</v>
      </c>
      <c r="F572" s="2">
        <f t="shared" si="52"/>
        <v>0.99</v>
      </c>
      <c r="G572" s="2">
        <f t="shared" si="53"/>
        <v>1</v>
      </c>
      <c r="H572" s="2">
        <f>IF(G572=Training_Data!F572,1,0)</f>
        <v>1</v>
      </c>
    </row>
    <row r="573" spans="1:8" x14ac:dyDescent="0.2">
      <c r="A573" s="2">
        <f>$L$2+SUMPRODUCT($M$2:$Q$2,Training_Data!A573:E573)</f>
        <v>875.30000000000007</v>
      </c>
      <c r="B573" s="2">
        <f t="shared" si="48"/>
        <v>875.30000000000007</v>
      </c>
      <c r="C573" s="2">
        <f t="shared" si="49"/>
        <v>100</v>
      </c>
      <c r="D573" s="2">
        <f t="shared" si="50"/>
        <v>1</v>
      </c>
      <c r="E573" s="2">
        <f t="shared" si="51"/>
        <v>1</v>
      </c>
      <c r="F573" s="2">
        <f t="shared" si="52"/>
        <v>0.99</v>
      </c>
      <c r="G573" s="2">
        <f t="shared" si="53"/>
        <v>1</v>
      </c>
      <c r="H573" s="2">
        <f>IF(G573=Training_Data!F573,1,0)</f>
        <v>1</v>
      </c>
    </row>
    <row r="574" spans="1:8" x14ac:dyDescent="0.2">
      <c r="A574" s="2">
        <f>$L$2+SUMPRODUCT($M$2:$Q$2,Training_Data!A574:E574)</f>
        <v>381.84999999999997</v>
      </c>
      <c r="B574" s="2">
        <f t="shared" si="48"/>
        <v>381.84999999999997</v>
      </c>
      <c r="C574" s="2">
        <f t="shared" si="49"/>
        <v>100</v>
      </c>
      <c r="D574" s="2">
        <f t="shared" si="50"/>
        <v>1</v>
      </c>
      <c r="E574" s="2">
        <f t="shared" si="51"/>
        <v>1</v>
      </c>
      <c r="F574" s="2">
        <f t="shared" si="52"/>
        <v>0.99</v>
      </c>
      <c r="G574" s="2">
        <f t="shared" si="53"/>
        <v>1</v>
      </c>
      <c r="H574" s="2">
        <f>IF(G574=Training_Data!F574,1,0)</f>
        <v>1</v>
      </c>
    </row>
    <row r="575" spans="1:8" x14ac:dyDescent="0.2">
      <c r="A575" s="2">
        <f>$L$2+SUMPRODUCT($M$2:$Q$2,Training_Data!A575:E575)</f>
        <v>334.512</v>
      </c>
      <c r="B575" s="2">
        <f t="shared" si="48"/>
        <v>334.512</v>
      </c>
      <c r="C575" s="2">
        <f t="shared" si="49"/>
        <v>100</v>
      </c>
      <c r="D575" s="2">
        <f t="shared" si="50"/>
        <v>1</v>
      </c>
      <c r="E575" s="2">
        <f t="shared" si="51"/>
        <v>1</v>
      </c>
      <c r="F575" s="2">
        <f t="shared" si="52"/>
        <v>0.99</v>
      </c>
      <c r="G575" s="2">
        <f t="shared" si="53"/>
        <v>1</v>
      </c>
      <c r="H575" s="2">
        <f>IF(G575=Training_Data!F575,1,0)</f>
        <v>1</v>
      </c>
    </row>
    <row r="576" spans="1:8" x14ac:dyDescent="0.2">
      <c r="A576" s="2">
        <f>$L$2+SUMPRODUCT($M$2:$Q$2,Training_Data!A576:E576)</f>
        <v>510.92500000000001</v>
      </c>
      <c r="B576" s="2">
        <f t="shared" si="48"/>
        <v>510.92500000000001</v>
      </c>
      <c r="C576" s="2">
        <f t="shared" si="49"/>
        <v>100</v>
      </c>
      <c r="D576" s="2">
        <f t="shared" si="50"/>
        <v>1</v>
      </c>
      <c r="E576" s="2">
        <f t="shared" si="51"/>
        <v>1</v>
      </c>
      <c r="F576" s="2">
        <f t="shared" si="52"/>
        <v>0.99</v>
      </c>
      <c r="G576" s="2">
        <f t="shared" si="53"/>
        <v>1</v>
      </c>
      <c r="H576" s="2">
        <f>IF(G576=Training_Data!F576,1,0)</f>
        <v>1</v>
      </c>
    </row>
    <row r="577" spans="1:8" x14ac:dyDescent="0.2">
      <c r="A577" s="2">
        <f>$L$2+SUMPRODUCT($M$2:$Q$2,Training_Data!A577:E577)</f>
        <v>13797.703000000001</v>
      </c>
      <c r="B577" s="2">
        <f t="shared" si="48"/>
        <v>13797.703000000001</v>
      </c>
      <c r="C577" s="2">
        <f t="shared" si="49"/>
        <v>100</v>
      </c>
      <c r="D577" s="2">
        <f t="shared" si="50"/>
        <v>1</v>
      </c>
      <c r="E577" s="2">
        <f t="shared" si="51"/>
        <v>1</v>
      </c>
      <c r="F577" s="2">
        <f t="shared" si="52"/>
        <v>0.99</v>
      </c>
      <c r="G577" s="2">
        <f t="shared" si="53"/>
        <v>1</v>
      </c>
      <c r="H577" s="2">
        <f>IF(G577=Training_Data!F577,1,0)</f>
        <v>1</v>
      </c>
    </row>
    <row r="578" spans="1:8" x14ac:dyDescent="0.2">
      <c r="A578" s="2">
        <f>$L$2+SUMPRODUCT($M$2:$Q$2,Training_Data!A578:E578)</f>
        <v>3044.65</v>
      </c>
      <c r="B578" s="2">
        <f t="shared" si="48"/>
        <v>3044.65</v>
      </c>
      <c r="C578" s="2">
        <f t="shared" si="49"/>
        <v>100</v>
      </c>
      <c r="D578" s="2">
        <f t="shared" si="50"/>
        <v>1</v>
      </c>
      <c r="E578" s="2">
        <f t="shared" si="51"/>
        <v>1</v>
      </c>
      <c r="F578" s="2">
        <f t="shared" si="52"/>
        <v>0.99</v>
      </c>
      <c r="G578" s="2">
        <f t="shared" si="53"/>
        <v>1</v>
      </c>
      <c r="H578" s="2">
        <f>IF(G578=Training_Data!F578,1,0)</f>
        <v>1</v>
      </c>
    </row>
    <row r="579" spans="1:8" x14ac:dyDescent="0.2">
      <c r="A579" s="2">
        <f>$L$2+SUMPRODUCT($M$2:$Q$2,Training_Data!A579:E579)</f>
        <v>2758.3030000000003</v>
      </c>
      <c r="B579" s="2">
        <f t="shared" ref="B579:B642" si="54">IF(A579&lt;-100,-100,A579)</f>
        <v>2758.3030000000003</v>
      </c>
      <c r="C579" s="2">
        <f t="shared" ref="C579:C642" si="55">IF(B579&gt;100,100,B579)</f>
        <v>100</v>
      </c>
      <c r="D579" s="2">
        <f t="shared" ref="D579:D642" si="56">1/(1+EXP(-C579))</f>
        <v>1</v>
      </c>
      <c r="E579" s="2">
        <f t="shared" ref="E579:E642" si="57">IF(D579&lt;0.01,0.01,D579)</f>
        <v>1</v>
      </c>
      <c r="F579" s="2">
        <f t="shared" ref="F579:F642" si="58">IF(E579&gt;0.99,0.99, E579)</f>
        <v>0.99</v>
      </c>
      <c r="G579" s="2">
        <f t="shared" ref="G579:G642" si="59">IF(F579&gt;0.5,1,0)</f>
        <v>1</v>
      </c>
      <c r="H579" s="2">
        <f>IF(G579=Training_Data!F579,1,0)</f>
        <v>1</v>
      </c>
    </row>
    <row r="580" spans="1:8" x14ac:dyDescent="0.2">
      <c r="A580" s="2">
        <f>$L$2+SUMPRODUCT($M$2:$Q$2,Training_Data!A580:E580)</f>
        <v>9855.1630000000005</v>
      </c>
      <c r="B580" s="2">
        <f t="shared" si="54"/>
        <v>9855.1630000000005</v>
      </c>
      <c r="C580" s="2">
        <f t="shared" si="55"/>
        <v>100</v>
      </c>
      <c r="D580" s="2">
        <f t="shared" si="56"/>
        <v>1</v>
      </c>
      <c r="E580" s="2">
        <f t="shared" si="57"/>
        <v>1</v>
      </c>
      <c r="F580" s="2">
        <f t="shared" si="58"/>
        <v>0.99</v>
      </c>
      <c r="G580" s="2">
        <f t="shared" si="59"/>
        <v>1</v>
      </c>
      <c r="H580" s="2">
        <f>IF(G580=Training_Data!F580,1,0)</f>
        <v>1</v>
      </c>
    </row>
    <row r="581" spans="1:8" x14ac:dyDescent="0.2">
      <c r="A581" s="2">
        <f>$L$2+SUMPRODUCT($M$2:$Q$2,Training_Data!A581:E581)</f>
        <v>2074.134</v>
      </c>
      <c r="B581" s="2">
        <f t="shared" si="54"/>
        <v>2074.134</v>
      </c>
      <c r="C581" s="2">
        <f t="shared" si="55"/>
        <v>100</v>
      </c>
      <c r="D581" s="2">
        <f t="shared" si="56"/>
        <v>1</v>
      </c>
      <c r="E581" s="2">
        <f t="shared" si="57"/>
        <v>1</v>
      </c>
      <c r="F581" s="2">
        <f t="shared" si="58"/>
        <v>0.99</v>
      </c>
      <c r="G581" s="2">
        <f t="shared" si="59"/>
        <v>1</v>
      </c>
      <c r="H581" s="2">
        <f>IF(G581=Training_Data!F581,1,0)</f>
        <v>1</v>
      </c>
    </row>
    <row r="582" spans="1:8" x14ac:dyDescent="0.2">
      <c r="A582" s="2">
        <f>$L$2+SUMPRODUCT($M$2:$Q$2,Training_Data!A582:E582)</f>
        <v>168.72499999999997</v>
      </c>
      <c r="B582" s="2">
        <f t="shared" si="54"/>
        <v>168.72499999999997</v>
      </c>
      <c r="C582" s="2">
        <f t="shared" si="55"/>
        <v>100</v>
      </c>
      <c r="D582" s="2">
        <f t="shared" si="56"/>
        <v>1</v>
      </c>
      <c r="E582" s="2">
        <f t="shared" si="57"/>
        <v>1</v>
      </c>
      <c r="F582" s="2">
        <f t="shared" si="58"/>
        <v>0.99</v>
      </c>
      <c r="G582" s="2">
        <f t="shared" si="59"/>
        <v>1</v>
      </c>
      <c r="H582" s="2">
        <f>IF(G582=Training_Data!F582,1,0)</f>
        <v>0</v>
      </c>
    </row>
    <row r="583" spans="1:8" x14ac:dyDescent="0.2">
      <c r="A583" s="2">
        <f>$L$2+SUMPRODUCT($M$2:$Q$2,Training_Data!A583:E583)</f>
        <v>272.25299999999999</v>
      </c>
      <c r="B583" s="2">
        <f t="shared" si="54"/>
        <v>272.25299999999999</v>
      </c>
      <c r="C583" s="2">
        <f t="shared" si="55"/>
        <v>100</v>
      </c>
      <c r="D583" s="2">
        <f t="shared" si="56"/>
        <v>1</v>
      </c>
      <c r="E583" s="2">
        <f t="shared" si="57"/>
        <v>1</v>
      </c>
      <c r="F583" s="2">
        <f t="shared" si="58"/>
        <v>0.99</v>
      </c>
      <c r="G583" s="2">
        <f t="shared" si="59"/>
        <v>1</v>
      </c>
      <c r="H583" s="2">
        <f>IF(G583=Training_Data!F583,1,0)</f>
        <v>0</v>
      </c>
    </row>
    <row r="584" spans="1:8" x14ac:dyDescent="0.2">
      <c r="A584" s="2">
        <f>$L$2+SUMPRODUCT($M$2:$Q$2,Training_Data!A584:E584)</f>
        <v>247.40299999999999</v>
      </c>
      <c r="B584" s="2">
        <f t="shared" si="54"/>
        <v>247.40299999999999</v>
      </c>
      <c r="C584" s="2">
        <f t="shared" si="55"/>
        <v>100</v>
      </c>
      <c r="D584" s="2">
        <f t="shared" si="56"/>
        <v>1</v>
      </c>
      <c r="E584" s="2">
        <f t="shared" si="57"/>
        <v>1</v>
      </c>
      <c r="F584" s="2">
        <f t="shared" si="58"/>
        <v>0.99</v>
      </c>
      <c r="G584" s="2">
        <f t="shared" si="59"/>
        <v>1</v>
      </c>
      <c r="H584" s="2">
        <f>IF(G584=Training_Data!F584,1,0)</f>
        <v>0</v>
      </c>
    </row>
    <row r="585" spans="1:8" x14ac:dyDescent="0.2">
      <c r="A585" s="2">
        <f>$L$2+SUMPRODUCT($M$2:$Q$2,Training_Data!A585:E585)</f>
        <v>219.06199999999998</v>
      </c>
      <c r="B585" s="2">
        <f t="shared" si="54"/>
        <v>219.06199999999998</v>
      </c>
      <c r="C585" s="2">
        <f t="shared" si="55"/>
        <v>100</v>
      </c>
      <c r="D585" s="2">
        <f t="shared" si="56"/>
        <v>1</v>
      </c>
      <c r="E585" s="2">
        <f t="shared" si="57"/>
        <v>1</v>
      </c>
      <c r="F585" s="2">
        <f t="shared" si="58"/>
        <v>0.99</v>
      </c>
      <c r="G585" s="2">
        <f t="shared" si="59"/>
        <v>1</v>
      </c>
      <c r="H585" s="2">
        <f>IF(G585=Training_Data!F585,1,0)</f>
        <v>0</v>
      </c>
    </row>
    <row r="586" spans="1:8" x14ac:dyDescent="0.2">
      <c r="A586" s="2">
        <f>$L$2+SUMPRODUCT($M$2:$Q$2,Training_Data!A586:E586)</f>
        <v>348.178</v>
      </c>
      <c r="B586" s="2">
        <f t="shared" si="54"/>
        <v>348.178</v>
      </c>
      <c r="C586" s="2">
        <f t="shared" si="55"/>
        <v>100</v>
      </c>
      <c r="D586" s="2">
        <f t="shared" si="56"/>
        <v>1</v>
      </c>
      <c r="E586" s="2">
        <f t="shared" si="57"/>
        <v>1</v>
      </c>
      <c r="F586" s="2">
        <f t="shared" si="58"/>
        <v>0.99</v>
      </c>
      <c r="G586" s="2">
        <f t="shared" si="59"/>
        <v>1</v>
      </c>
      <c r="H586" s="2">
        <f>IF(G586=Training_Data!F586,1,0)</f>
        <v>0</v>
      </c>
    </row>
    <row r="587" spans="1:8" x14ac:dyDescent="0.2">
      <c r="A587" s="2">
        <f>$L$2+SUMPRODUCT($M$2:$Q$2,Training_Data!A587:E587)</f>
        <v>-9.6930000000000049</v>
      </c>
      <c r="B587" s="2">
        <f t="shared" si="54"/>
        <v>-9.6930000000000049</v>
      </c>
      <c r="C587" s="2">
        <f t="shared" si="55"/>
        <v>-9.6930000000000049</v>
      </c>
      <c r="D587" s="2">
        <f t="shared" si="56"/>
        <v>6.1710176092886506E-5</v>
      </c>
      <c r="E587" s="2">
        <f t="shared" si="57"/>
        <v>0.01</v>
      </c>
      <c r="F587" s="2">
        <f t="shared" si="58"/>
        <v>0.01</v>
      </c>
      <c r="G587" s="2">
        <f t="shared" si="59"/>
        <v>0</v>
      </c>
      <c r="H587" s="2">
        <f>IF(G587=Training_Data!F587,1,0)</f>
        <v>0</v>
      </c>
    </row>
    <row r="588" spans="1:8" x14ac:dyDescent="0.2">
      <c r="A588" s="2">
        <f>$L$2+SUMPRODUCT($M$2:$Q$2,Training_Data!A588:E588)</f>
        <v>285.803</v>
      </c>
      <c r="B588" s="2">
        <f t="shared" si="54"/>
        <v>285.803</v>
      </c>
      <c r="C588" s="2">
        <f t="shared" si="55"/>
        <v>100</v>
      </c>
      <c r="D588" s="2">
        <f t="shared" si="56"/>
        <v>1</v>
      </c>
      <c r="E588" s="2">
        <f t="shared" si="57"/>
        <v>1</v>
      </c>
      <c r="F588" s="2">
        <f t="shared" si="58"/>
        <v>0.99</v>
      </c>
      <c r="G588" s="2">
        <f t="shared" si="59"/>
        <v>1</v>
      </c>
      <c r="H588" s="2">
        <f>IF(G588=Training_Data!F588,1,0)</f>
        <v>0</v>
      </c>
    </row>
    <row r="589" spans="1:8" x14ac:dyDescent="0.2">
      <c r="A589" s="2">
        <f>$L$2+SUMPRODUCT($M$2:$Q$2,Training_Data!A589:E589)</f>
        <v>646.96900000000005</v>
      </c>
      <c r="B589" s="2">
        <f t="shared" si="54"/>
        <v>646.96900000000005</v>
      </c>
      <c r="C589" s="2">
        <f t="shared" si="55"/>
        <v>100</v>
      </c>
      <c r="D589" s="2">
        <f t="shared" si="56"/>
        <v>1</v>
      </c>
      <c r="E589" s="2">
        <f t="shared" si="57"/>
        <v>1</v>
      </c>
      <c r="F589" s="2">
        <f t="shared" si="58"/>
        <v>0.99</v>
      </c>
      <c r="G589" s="2">
        <f t="shared" si="59"/>
        <v>1</v>
      </c>
      <c r="H589" s="2">
        <f>IF(G589=Training_Data!F589,1,0)</f>
        <v>0</v>
      </c>
    </row>
    <row r="590" spans="1:8" x14ac:dyDescent="0.2">
      <c r="A590" s="2">
        <f>$L$2+SUMPRODUCT($M$2:$Q$2,Training_Data!A590:E590)</f>
        <v>184.47499999999999</v>
      </c>
      <c r="B590" s="2">
        <f t="shared" si="54"/>
        <v>184.47499999999999</v>
      </c>
      <c r="C590" s="2">
        <f t="shared" si="55"/>
        <v>100</v>
      </c>
      <c r="D590" s="2">
        <f t="shared" si="56"/>
        <v>1</v>
      </c>
      <c r="E590" s="2">
        <f t="shared" si="57"/>
        <v>1</v>
      </c>
      <c r="F590" s="2">
        <f t="shared" si="58"/>
        <v>0.99</v>
      </c>
      <c r="G590" s="2">
        <f t="shared" si="59"/>
        <v>1</v>
      </c>
      <c r="H590" s="2">
        <f>IF(G590=Training_Data!F590,1,0)</f>
        <v>0</v>
      </c>
    </row>
    <row r="591" spans="1:8" x14ac:dyDescent="0.2">
      <c r="A591" s="2">
        <f>$L$2+SUMPRODUCT($M$2:$Q$2,Training_Data!A591:E591)</f>
        <v>479.08099999999996</v>
      </c>
      <c r="B591" s="2">
        <f t="shared" si="54"/>
        <v>479.08099999999996</v>
      </c>
      <c r="C591" s="2">
        <f t="shared" si="55"/>
        <v>100</v>
      </c>
      <c r="D591" s="2">
        <f t="shared" si="56"/>
        <v>1</v>
      </c>
      <c r="E591" s="2">
        <f t="shared" si="57"/>
        <v>1</v>
      </c>
      <c r="F591" s="2">
        <f t="shared" si="58"/>
        <v>0.99</v>
      </c>
      <c r="G591" s="2">
        <f t="shared" si="59"/>
        <v>1</v>
      </c>
      <c r="H591" s="2">
        <f>IF(G591=Training_Data!F591,1,0)</f>
        <v>0</v>
      </c>
    </row>
    <row r="592" spans="1:8" x14ac:dyDescent="0.2">
      <c r="A592" s="2">
        <f>$L$2+SUMPRODUCT($M$2:$Q$2,Training_Data!A592:E592)</f>
        <v>1438.76</v>
      </c>
      <c r="B592" s="2">
        <f t="shared" si="54"/>
        <v>1438.76</v>
      </c>
      <c r="C592" s="2">
        <f t="shared" si="55"/>
        <v>100</v>
      </c>
      <c r="D592" s="2">
        <f t="shared" si="56"/>
        <v>1</v>
      </c>
      <c r="E592" s="2">
        <f t="shared" si="57"/>
        <v>1</v>
      </c>
      <c r="F592" s="2">
        <f t="shared" si="58"/>
        <v>0.99</v>
      </c>
      <c r="G592" s="2">
        <f t="shared" si="59"/>
        <v>1</v>
      </c>
      <c r="H592" s="2">
        <f>IF(G592=Training_Data!F592,1,0)</f>
        <v>0</v>
      </c>
    </row>
    <row r="593" spans="1:8" x14ac:dyDescent="0.2">
      <c r="A593" s="2">
        <f>$L$2+SUMPRODUCT($M$2:$Q$2,Training_Data!A593:E593)</f>
        <v>294.76899999999995</v>
      </c>
      <c r="B593" s="2">
        <f t="shared" si="54"/>
        <v>294.76899999999995</v>
      </c>
      <c r="C593" s="2">
        <f t="shared" si="55"/>
        <v>100</v>
      </c>
      <c r="D593" s="2">
        <f t="shared" si="56"/>
        <v>1</v>
      </c>
      <c r="E593" s="2">
        <f t="shared" si="57"/>
        <v>1</v>
      </c>
      <c r="F593" s="2">
        <f t="shared" si="58"/>
        <v>0.99</v>
      </c>
      <c r="G593" s="2">
        <f t="shared" si="59"/>
        <v>1</v>
      </c>
      <c r="H593" s="2">
        <f>IF(G593=Training_Data!F593,1,0)</f>
        <v>0</v>
      </c>
    </row>
    <row r="594" spans="1:8" x14ac:dyDescent="0.2">
      <c r="A594" s="2">
        <f>$L$2+SUMPRODUCT($M$2:$Q$2,Training_Data!A594:E594)</f>
        <v>188.14099999999999</v>
      </c>
      <c r="B594" s="2">
        <f t="shared" si="54"/>
        <v>188.14099999999999</v>
      </c>
      <c r="C594" s="2">
        <f t="shared" si="55"/>
        <v>100</v>
      </c>
      <c r="D594" s="2">
        <f t="shared" si="56"/>
        <v>1</v>
      </c>
      <c r="E594" s="2">
        <f t="shared" si="57"/>
        <v>1</v>
      </c>
      <c r="F594" s="2">
        <f t="shared" si="58"/>
        <v>0.99</v>
      </c>
      <c r="G594" s="2">
        <f t="shared" si="59"/>
        <v>1</v>
      </c>
      <c r="H594" s="2">
        <f>IF(G594=Training_Data!F594,1,0)</f>
        <v>0</v>
      </c>
    </row>
    <row r="595" spans="1:8" x14ac:dyDescent="0.2">
      <c r="A595" s="2">
        <f>$L$2+SUMPRODUCT($M$2:$Q$2,Training_Data!A595:E595)</f>
        <v>847.02200000000005</v>
      </c>
      <c r="B595" s="2">
        <f t="shared" si="54"/>
        <v>847.02200000000005</v>
      </c>
      <c r="C595" s="2">
        <f t="shared" si="55"/>
        <v>100</v>
      </c>
      <c r="D595" s="2">
        <f t="shared" si="56"/>
        <v>1</v>
      </c>
      <c r="E595" s="2">
        <f t="shared" si="57"/>
        <v>1</v>
      </c>
      <c r="F595" s="2">
        <f t="shared" si="58"/>
        <v>0.99</v>
      </c>
      <c r="G595" s="2">
        <f t="shared" si="59"/>
        <v>1</v>
      </c>
      <c r="H595" s="2">
        <f>IF(G595=Training_Data!F595,1,0)</f>
        <v>0</v>
      </c>
    </row>
    <row r="596" spans="1:8" x14ac:dyDescent="0.2">
      <c r="A596" s="2">
        <f>$L$2+SUMPRODUCT($M$2:$Q$2,Training_Data!A596:E596)</f>
        <v>537.6</v>
      </c>
      <c r="B596" s="2">
        <f t="shared" si="54"/>
        <v>537.6</v>
      </c>
      <c r="C596" s="2">
        <f t="shared" si="55"/>
        <v>100</v>
      </c>
      <c r="D596" s="2">
        <f t="shared" si="56"/>
        <v>1</v>
      </c>
      <c r="E596" s="2">
        <f t="shared" si="57"/>
        <v>1</v>
      </c>
      <c r="F596" s="2">
        <f t="shared" si="58"/>
        <v>0.99</v>
      </c>
      <c r="G596" s="2">
        <f t="shared" si="59"/>
        <v>1</v>
      </c>
      <c r="H596" s="2">
        <f>IF(G596=Training_Data!F596,1,0)</f>
        <v>0</v>
      </c>
    </row>
    <row r="597" spans="1:8" x14ac:dyDescent="0.2">
      <c r="A597" s="2">
        <f>$L$2+SUMPRODUCT($M$2:$Q$2,Training_Data!A597:E597)</f>
        <v>217.67499999999998</v>
      </c>
      <c r="B597" s="2">
        <f t="shared" si="54"/>
        <v>217.67499999999998</v>
      </c>
      <c r="C597" s="2">
        <f t="shared" si="55"/>
        <v>100</v>
      </c>
      <c r="D597" s="2">
        <f t="shared" si="56"/>
        <v>1</v>
      </c>
      <c r="E597" s="2">
        <f t="shared" si="57"/>
        <v>1</v>
      </c>
      <c r="F597" s="2">
        <f t="shared" si="58"/>
        <v>0.99</v>
      </c>
      <c r="G597" s="2">
        <f t="shared" si="59"/>
        <v>1</v>
      </c>
      <c r="H597" s="2">
        <f>IF(G597=Training_Data!F597,1,0)</f>
        <v>0</v>
      </c>
    </row>
    <row r="598" spans="1:8" x14ac:dyDescent="0.2">
      <c r="A598" s="2">
        <f>$L$2+SUMPRODUCT($M$2:$Q$2,Training_Data!A598:E598)</f>
        <v>807.72800000000007</v>
      </c>
      <c r="B598" s="2">
        <f t="shared" si="54"/>
        <v>807.72800000000007</v>
      </c>
      <c r="C598" s="2">
        <f t="shared" si="55"/>
        <v>100</v>
      </c>
      <c r="D598" s="2">
        <f t="shared" si="56"/>
        <v>1</v>
      </c>
      <c r="E598" s="2">
        <f t="shared" si="57"/>
        <v>1</v>
      </c>
      <c r="F598" s="2">
        <f t="shared" si="58"/>
        <v>0.99</v>
      </c>
      <c r="G598" s="2">
        <f t="shared" si="59"/>
        <v>1</v>
      </c>
      <c r="H598" s="2">
        <f>IF(G598=Training_Data!F598,1,0)</f>
        <v>0</v>
      </c>
    </row>
    <row r="599" spans="1:8" x14ac:dyDescent="0.2">
      <c r="A599" s="2">
        <f>$L$2+SUMPRODUCT($M$2:$Q$2,Training_Data!A599:E599)</f>
        <v>1367.26</v>
      </c>
      <c r="B599" s="2">
        <f t="shared" si="54"/>
        <v>1367.26</v>
      </c>
      <c r="C599" s="2">
        <f t="shared" si="55"/>
        <v>100</v>
      </c>
      <c r="D599" s="2">
        <f t="shared" si="56"/>
        <v>1</v>
      </c>
      <c r="E599" s="2">
        <f t="shared" si="57"/>
        <v>1</v>
      </c>
      <c r="F599" s="2">
        <f t="shared" si="58"/>
        <v>0.99</v>
      </c>
      <c r="G599" s="2">
        <f t="shared" si="59"/>
        <v>1</v>
      </c>
      <c r="H599" s="2">
        <f>IF(G599=Training_Data!F599,1,0)</f>
        <v>0</v>
      </c>
    </row>
    <row r="600" spans="1:8" x14ac:dyDescent="0.2">
      <c r="A600" s="2">
        <f>$L$2+SUMPRODUCT($M$2:$Q$2,Training_Data!A600:E600)</f>
        <v>229.922</v>
      </c>
      <c r="B600" s="2">
        <f t="shared" si="54"/>
        <v>229.922</v>
      </c>
      <c r="C600" s="2">
        <f t="shared" si="55"/>
        <v>100</v>
      </c>
      <c r="D600" s="2">
        <f t="shared" si="56"/>
        <v>1</v>
      </c>
      <c r="E600" s="2">
        <f t="shared" si="57"/>
        <v>1</v>
      </c>
      <c r="F600" s="2">
        <f t="shared" si="58"/>
        <v>0.99</v>
      </c>
      <c r="G600" s="2">
        <f t="shared" si="59"/>
        <v>1</v>
      </c>
      <c r="H600" s="2">
        <f>IF(G600=Training_Data!F600,1,0)</f>
        <v>0</v>
      </c>
    </row>
    <row r="601" spans="1:8" x14ac:dyDescent="0.2">
      <c r="A601" s="2">
        <f>$L$2+SUMPRODUCT($M$2:$Q$2,Training_Data!A601:E601)</f>
        <v>-11.290000000000003</v>
      </c>
      <c r="B601" s="2">
        <f t="shared" si="54"/>
        <v>-11.290000000000003</v>
      </c>
      <c r="C601" s="2">
        <f t="shared" si="55"/>
        <v>-11.290000000000003</v>
      </c>
      <c r="D601" s="2">
        <f t="shared" si="56"/>
        <v>1.249711803802787E-5</v>
      </c>
      <c r="E601" s="2">
        <f t="shared" si="57"/>
        <v>0.01</v>
      </c>
      <c r="F601" s="2">
        <f t="shared" si="58"/>
        <v>0.01</v>
      </c>
      <c r="G601" s="2">
        <f t="shared" si="59"/>
        <v>0</v>
      </c>
      <c r="H601" s="2">
        <f>IF(G601=Training_Data!F601,1,0)</f>
        <v>0</v>
      </c>
    </row>
    <row r="602" spans="1:8" x14ac:dyDescent="0.2">
      <c r="A602" s="2">
        <f>$L$2+SUMPRODUCT($M$2:$Q$2,Training_Data!A602:E602)</f>
        <v>200.14999999999998</v>
      </c>
      <c r="B602" s="2">
        <f t="shared" si="54"/>
        <v>200.14999999999998</v>
      </c>
      <c r="C602" s="2">
        <f t="shared" si="55"/>
        <v>100</v>
      </c>
      <c r="D602" s="2">
        <f t="shared" si="56"/>
        <v>1</v>
      </c>
      <c r="E602" s="2">
        <f t="shared" si="57"/>
        <v>1</v>
      </c>
      <c r="F602" s="2">
        <f t="shared" si="58"/>
        <v>0.99</v>
      </c>
      <c r="G602" s="2">
        <f t="shared" si="59"/>
        <v>1</v>
      </c>
      <c r="H602" s="2">
        <f>IF(G602=Training_Data!F602,1,0)</f>
        <v>0</v>
      </c>
    </row>
    <row r="603" spans="1:8" x14ac:dyDescent="0.2">
      <c r="A603" s="2">
        <f>$L$2+SUMPRODUCT($M$2:$Q$2,Training_Data!A603:E603)</f>
        <v>196.21299999999999</v>
      </c>
      <c r="B603" s="2">
        <f t="shared" si="54"/>
        <v>196.21299999999999</v>
      </c>
      <c r="C603" s="2">
        <f t="shared" si="55"/>
        <v>100</v>
      </c>
      <c r="D603" s="2">
        <f t="shared" si="56"/>
        <v>1</v>
      </c>
      <c r="E603" s="2">
        <f t="shared" si="57"/>
        <v>1</v>
      </c>
      <c r="F603" s="2">
        <f t="shared" si="58"/>
        <v>0.99</v>
      </c>
      <c r="G603" s="2">
        <f t="shared" si="59"/>
        <v>1</v>
      </c>
      <c r="H603" s="2">
        <f>IF(G603=Training_Data!F603,1,0)</f>
        <v>0</v>
      </c>
    </row>
    <row r="604" spans="1:8" x14ac:dyDescent="0.2">
      <c r="A604" s="2">
        <f>$L$2+SUMPRODUCT($M$2:$Q$2,Training_Data!A604:E604)</f>
        <v>117.47800000000001</v>
      </c>
      <c r="B604" s="2">
        <f t="shared" si="54"/>
        <v>117.47800000000001</v>
      </c>
      <c r="C604" s="2">
        <f t="shared" si="55"/>
        <v>100</v>
      </c>
      <c r="D604" s="2">
        <f t="shared" si="56"/>
        <v>1</v>
      </c>
      <c r="E604" s="2">
        <f t="shared" si="57"/>
        <v>1</v>
      </c>
      <c r="F604" s="2">
        <f t="shared" si="58"/>
        <v>0.99</v>
      </c>
      <c r="G604" s="2">
        <f t="shared" si="59"/>
        <v>1</v>
      </c>
      <c r="H604" s="2">
        <f>IF(G604=Training_Data!F604,1,0)</f>
        <v>0</v>
      </c>
    </row>
    <row r="605" spans="1:8" x14ac:dyDescent="0.2">
      <c r="A605" s="2">
        <f>$L$2+SUMPRODUCT($M$2:$Q$2,Training_Data!A605:E605)</f>
        <v>3177.8159999999998</v>
      </c>
      <c r="B605" s="2">
        <f t="shared" si="54"/>
        <v>3177.8159999999998</v>
      </c>
      <c r="C605" s="2">
        <f t="shared" si="55"/>
        <v>100</v>
      </c>
      <c r="D605" s="2">
        <f t="shared" si="56"/>
        <v>1</v>
      </c>
      <c r="E605" s="2">
        <f t="shared" si="57"/>
        <v>1</v>
      </c>
      <c r="F605" s="2">
        <f t="shared" si="58"/>
        <v>0.99</v>
      </c>
      <c r="G605" s="2">
        <f t="shared" si="59"/>
        <v>1</v>
      </c>
      <c r="H605" s="2">
        <f>IF(G605=Training_Data!F605,1,0)</f>
        <v>0</v>
      </c>
    </row>
    <row r="606" spans="1:8" x14ac:dyDescent="0.2">
      <c r="A606" s="2">
        <f>$L$2+SUMPRODUCT($M$2:$Q$2,Training_Data!A606:E606)</f>
        <v>304.27500000000003</v>
      </c>
      <c r="B606" s="2">
        <f t="shared" si="54"/>
        <v>304.27500000000003</v>
      </c>
      <c r="C606" s="2">
        <f t="shared" si="55"/>
        <v>100</v>
      </c>
      <c r="D606" s="2">
        <f t="shared" si="56"/>
        <v>1</v>
      </c>
      <c r="E606" s="2">
        <f t="shared" si="57"/>
        <v>1</v>
      </c>
      <c r="F606" s="2">
        <f t="shared" si="58"/>
        <v>0.99</v>
      </c>
      <c r="G606" s="2">
        <f t="shared" si="59"/>
        <v>1</v>
      </c>
      <c r="H606" s="2">
        <f>IF(G606=Training_Data!F606,1,0)</f>
        <v>0</v>
      </c>
    </row>
    <row r="607" spans="1:8" x14ac:dyDescent="0.2">
      <c r="A607" s="2">
        <f>$L$2+SUMPRODUCT($M$2:$Q$2,Training_Data!A607:E607)</f>
        <v>293.53800000000001</v>
      </c>
      <c r="B607" s="2">
        <f t="shared" si="54"/>
        <v>293.53800000000001</v>
      </c>
      <c r="C607" s="2">
        <f t="shared" si="55"/>
        <v>100</v>
      </c>
      <c r="D607" s="2">
        <f t="shared" si="56"/>
        <v>1</v>
      </c>
      <c r="E607" s="2">
        <f t="shared" si="57"/>
        <v>1</v>
      </c>
      <c r="F607" s="2">
        <f t="shared" si="58"/>
        <v>0.99</v>
      </c>
      <c r="G607" s="2">
        <f t="shared" si="59"/>
        <v>1</v>
      </c>
      <c r="H607" s="2">
        <f>IF(G607=Training_Data!F607,1,0)</f>
        <v>0</v>
      </c>
    </row>
    <row r="608" spans="1:8" x14ac:dyDescent="0.2">
      <c r="A608" s="2">
        <f>$L$2+SUMPRODUCT($M$2:$Q$2,Training_Data!A608:E608)</f>
        <v>2732.0720000000001</v>
      </c>
      <c r="B608" s="2">
        <f t="shared" si="54"/>
        <v>2732.0720000000001</v>
      </c>
      <c r="C608" s="2">
        <f t="shared" si="55"/>
        <v>100</v>
      </c>
      <c r="D608" s="2">
        <f t="shared" si="56"/>
        <v>1</v>
      </c>
      <c r="E608" s="2">
        <f t="shared" si="57"/>
        <v>1</v>
      </c>
      <c r="F608" s="2">
        <f t="shared" si="58"/>
        <v>0.99</v>
      </c>
      <c r="G608" s="2">
        <f t="shared" si="59"/>
        <v>1</v>
      </c>
      <c r="H608" s="2">
        <f>IF(G608=Training_Data!F608,1,0)</f>
        <v>0</v>
      </c>
    </row>
    <row r="609" spans="1:8" x14ac:dyDescent="0.2">
      <c r="A609" s="2">
        <f>$L$2+SUMPRODUCT($M$2:$Q$2,Training_Data!A609:E609)</f>
        <v>680.23800000000006</v>
      </c>
      <c r="B609" s="2">
        <f t="shared" si="54"/>
        <v>680.23800000000006</v>
      </c>
      <c r="C609" s="2">
        <f t="shared" si="55"/>
        <v>100</v>
      </c>
      <c r="D609" s="2">
        <f t="shared" si="56"/>
        <v>1</v>
      </c>
      <c r="E609" s="2">
        <f t="shared" si="57"/>
        <v>1</v>
      </c>
      <c r="F609" s="2">
        <f t="shared" si="58"/>
        <v>0.99</v>
      </c>
      <c r="G609" s="2">
        <f t="shared" si="59"/>
        <v>1</v>
      </c>
      <c r="H609" s="2">
        <f>IF(G609=Training_Data!F609,1,0)</f>
        <v>0</v>
      </c>
    </row>
    <row r="610" spans="1:8" x14ac:dyDescent="0.2">
      <c r="A610" s="2">
        <f>$L$2+SUMPRODUCT($M$2:$Q$2,Training_Data!A610:E610)</f>
        <v>71.924999999999997</v>
      </c>
      <c r="B610" s="2">
        <f t="shared" si="54"/>
        <v>71.924999999999997</v>
      </c>
      <c r="C610" s="2">
        <f t="shared" si="55"/>
        <v>71.924999999999997</v>
      </c>
      <c r="D610" s="2">
        <f t="shared" si="56"/>
        <v>1</v>
      </c>
      <c r="E610" s="2">
        <f t="shared" si="57"/>
        <v>1</v>
      </c>
      <c r="F610" s="2">
        <f t="shared" si="58"/>
        <v>0.99</v>
      </c>
      <c r="G610" s="2">
        <f t="shared" si="59"/>
        <v>1</v>
      </c>
      <c r="H610" s="2">
        <f>IF(G610=Training_Data!F610,1,0)</f>
        <v>0</v>
      </c>
    </row>
    <row r="611" spans="1:8" x14ac:dyDescent="0.2">
      <c r="A611" s="2">
        <f>$L$2+SUMPRODUCT($M$2:$Q$2,Training_Data!A611:E611)</f>
        <v>136.285</v>
      </c>
      <c r="B611" s="2">
        <f t="shared" si="54"/>
        <v>136.285</v>
      </c>
      <c r="C611" s="2">
        <f t="shared" si="55"/>
        <v>100</v>
      </c>
      <c r="D611" s="2">
        <f t="shared" si="56"/>
        <v>1</v>
      </c>
      <c r="E611" s="2">
        <f t="shared" si="57"/>
        <v>1</v>
      </c>
      <c r="F611" s="2">
        <f t="shared" si="58"/>
        <v>0.99</v>
      </c>
      <c r="G611" s="2">
        <f t="shared" si="59"/>
        <v>1</v>
      </c>
      <c r="H611" s="2">
        <f>IF(G611=Training_Data!F611,1,0)</f>
        <v>0</v>
      </c>
    </row>
    <row r="612" spans="1:8" x14ac:dyDescent="0.2">
      <c r="A612" s="2">
        <f>$L$2+SUMPRODUCT($M$2:$Q$2,Training_Data!A612:E612)</f>
        <v>310.137</v>
      </c>
      <c r="B612" s="2">
        <f t="shared" si="54"/>
        <v>310.137</v>
      </c>
      <c r="C612" s="2">
        <f t="shared" si="55"/>
        <v>100</v>
      </c>
      <c r="D612" s="2">
        <f t="shared" si="56"/>
        <v>1</v>
      </c>
      <c r="E612" s="2">
        <f t="shared" si="57"/>
        <v>1</v>
      </c>
      <c r="F612" s="2">
        <f t="shared" si="58"/>
        <v>0.99</v>
      </c>
      <c r="G612" s="2">
        <f t="shared" si="59"/>
        <v>1</v>
      </c>
      <c r="H612" s="2">
        <f>IF(G612=Training_Data!F612,1,0)</f>
        <v>0</v>
      </c>
    </row>
    <row r="613" spans="1:8" x14ac:dyDescent="0.2">
      <c r="A613" s="2">
        <f>$L$2+SUMPRODUCT($M$2:$Q$2,Training_Data!A613:E613)</f>
        <v>2081.8869999999997</v>
      </c>
      <c r="B613" s="2">
        <f t="shared" si="54"/>
        <v>2081.8869999999997</v>
      </c>
      <c r="C613" s="2">
        <f t="shared" si="55"/>
        <v>100</v>
      </c>
      <c r="D613" s="2">
        <f t="shared" si="56"/>
        <v>1</v>
      </c>
      <c r="E613" s="2">
        <f t="shared" si="57"/>
        <v>1</v>
      </c>
      <c r="F613" s="2">
        <f t="shared" si="58"/>
        <v>0.99</v>
      </c>
      <c r="G613" s="2">
        <f t="shared" si="59"/>
        <v>1</v>
      </c>
      <c r="H613" s="2">
        <f>IF(G613=Training_Data!F613,1,0)</f>
        <v>0</v>
      </c>
    </row>
    <row r="614" spans="1:8" x14ac:dyDescent="0.2">
      <c r="A614" s="2">
        <f>$L$2+SUMPRODUCT($M$2:$Q$2,Training_Data!A614:E614)</f>
        <v>138.87199999999999</v>
      </c>
      <c r="B614" s="2">
        <f t="shared" si="54"/>
        <v>138.87199999999999</v>
      </c>
      <c r="C614" s="2">
        <f t="shared" si="55"/>
        <v>100</v>
      </c>
      <c r="D614" s="2">
        <f t="shared" si="56"/>
        <v>1</v>
      </c>
      <c r="E614" s="2">
        <f t="shared" si="57"/>
        <v>1</v>
      </c>
      <c r="F614" s="2">
        <f t="shared" si="58"/>
        <v>0.99</v>
      </c>
      <c r="G614" s="2">
        <f t="shared" si="59"/>
        <v>1</v>
      </c>
      <c r="H614" s="2">
        <f>IF(G614=Training_Data!F614,1,0)</f>
        <v>0</v>
      </c>
    </row>
    <row r="615" spans="1:8" x14ac:dyDescent="0.2">
      <c r="A615" s="2">
        <f>$L$2+SUMPRODUCT($M$2:$Q$2,Training_Data!A615:E615)</f>
        <v>1233.6590000000001</v>
      </c>
      <c r="B615" s="2">
        <f t="shared" si="54"/>
        <v>1233.6590000000001</v>
      </c>
      <c r="C615" s="2">
        <f t="shared" si="55"/>
        <v>100</v>
      </c>
      <c r="D615" s="2">
        <f t="shared" si="56"/>
        <v>1</v>
      </c>
      <c r="E615" s="2">
        <f t="shared" si="57"/>
        <v>1</v>
      </c>
      <c r="F615" s="2">
        <f t="shared" si="58"/>
        <v>0.99</v>
      </c>
      <c r="G615" s="2">
        <f t="shared" si="59"/>
        <v>1</v>
      </c>
      <c r="H615" s="2">
        <f>IF(G615=Training_Data!F615,1,0)</f>
        <v>0</v>
      </c>
    </row>
    <row r="616" spans="1:8" x14ac:dyDescent="0.2">
      <c r="A616" s="2">
        <f>$L$2+SUMPRODUCT($M$2:$Q$2,Training_Data!A616:E616)</f>
        <v>117.40300000000001</v>
      </c>
      <c r="B616" s="2">
        <f t="shared" si="54"/>
        <v>117.40300000000001</v>
      </c>
      <c r="C616" s="2">
        <f t="shared" si="55"/>
        <v>100</v>
      </c>
      <c r="D616" s="2">
        <f t="shared" si="56"/>
        <v>1</v>
      </c>
      <c r="E616" s="2">
        <f t="shared" si="57"/>
        <v>1</v>
      </c>
      <c r="F616" s="2">
        <f t="shared" si="58"/>
        <v>0.99</v>
      </c>
      <c r="G616" s="2">
        <f t="shared" si="59"/>
        <v>1</v>
      </c>
      <c r="H616" s="2">
        <f>IF(G616=Training_Data!F616,1,0)</f>
        <v>0</v>
      </c>
    </row>
    <row r="617" spans="1:8" x14ac:dyDescent="0.2">
      <c r="A617" s="2">
        <f>$L$2+SUMPRODUCT($M$2:$Q$2,Training_Data!A617:E617)</f>
        <v>277.32799999999997</v>
      </c>
      <c r="B617" s="2">
        <f t="shared" si="54"/>
        <v>277.32799999999997</v>
      </c>
      <c r="C617" s="2">
        <f t="shared" si="55"/>
        <v>100</v>
      </c>
      <c r="D617" s="2">
        <f t="shared" si="56"/>
        <v>1</v>
      </c>
      <c r="E617" s="2">
        <f t="shared" si="57"/>
        <v>1</v>
      </c>
      <c r="F617" s="2">
        <f t="shared" si="58"/>
        <v>0.99</v>
      </c>
      <c r="G617" s="2">
        <f t="shared" si="59"/>
        <v>1</v>
      </c>
      <c r="H617" s="2">
        <f>IF(G617=Training_Data!F617,1,0)</f>
        <v>0</v>
      </c>
    </row>
    <row r="618" spans="1:8" x14ac:dyDescent="0.2">
      <c r="A618" s="2">
        <f>$L$2+SUMPRODUCT($M$2:$Q$2,Training_Data!A618:E618)</f>
        <v>926.09700000000009</v>
      </c>
      <c r="B618" s="2">
        <f t="shared" si="54"/>
        <v>926.09700000000009</v>
      </c>
      <c r="C618" s="2">
        <f t="shared" si="55"/>
        <v>100</v>
      </c>
      <c r="D618" s="2">
        <f t="shared" si="56"/>
        <v>1</v>
      </c>
      <c r="E618" s="2">
        <f t="shared" si="57"/>
        <v>1</v>
      </c>
      <c r="F618" s="2">
        <f t="shared" si="58"/>
        <v>0.99</v>
      </c>
      <c r="G618" s="2">
        <f t="shared" si="59"/>
        <v>1</v>
      </c>
      <c r="H618" s="2">
        <f>IF(G618=Training_Data!F618,1,0)</f>
        <v>0</v>
      </c>
    </row>
    <row r="619" spans="1:8" x14ac:dyDescent="0.2">
      <c r="A619" s="2">
        <f>$L$2+SUMPRODUCT($M$2:$Q$2,Training_Data!A619:E619)</f>
        <v>697.29700000000003</v>
      </c>
      <c r="B619" s="2">
        <f t="shared" si="54"/>
        <v>697.29700000000003</v>
      </c>
      <c r="C619" s="2">
        <f t="shared" si="55"/>
        <v>100</v>
      </c>
      <c r="D619" s="2">
        <f t="shared" si="56"/>
        <v>1</v>
      </c>
      <c r="E619" s="2">
        <f t="shared" si="57"/>
        <v>1</v>
      </c>
      <c r="F619" s="2">
        <f t="shared" si="58"/>
        <v>0.99</v>
      </c>
      <c r="G619" s="2">
        <f t="shared" si="59"/>
        <v>1</v>
      </c>
      <c r="H619" s="2">
        <f>IF(G619=Training_Data!F619,1,0)</f>
        <v>0</v>
      </c>
    </row>
    <row r="620" spans="1:8" x14ac:dyDescent="0.2">
      <c r="A620" s="2">
        <f>$L$2+SUMPRODUCT($M$2:$Q$2,Training_Data!A620:E620)</f>
        <v>400.22800000000001</v>
      </c>
      <c r="B620" s="2">
        <f t="shared" si="54"/>
        <v>400.22800000000001</v>
      </c>
      <c r="C620" s="2">
        <f t="shared" si="55"/>
        <v>100</v>
      </c>
      <c r="D620" s="2">
        <f t="shared" si="56"/>
        <v>1</v>
      </c>
      <c r="E620" s="2">
        <f t="shared" si="57"/>
        <v>1</v>
      </c>
      <c r="F620" s="2">
        <f t="shared" si="58"/>
        <v>0.99</v>
      </c>
      <c r="G620" s="2">
        <f t="shared" si="59"/>
        <v>1</v>
      </c>
      <c r="H620" s="2">
        <f>IF(G620=Training_Data!F620,1,0)</f>
        <v>0</v>
      </c>
    </row>
    <row r="621" spans="1:8" x14ac:dyDescent="0.2">
      <c r="A621" s="2">
        <f>$L$2+SUMPRODUCT($M$2:$Q$2,Training_Data!A621:E621)</f>
        <v>-21.749999999999996</v>
      </c>
      <c r="B621" s="2">
        <f t="shared" si="54"/>
        <v>-21.749999999999996</v>
      </c>
      <c r="C621" s="2">
        <f t="shared" si="55"/>
        <v>-21.749999999999996</v>
      </c>
      <c r="D621" s="2">
        <f t="shared" si="56"/>
        <v>3.5817479290003014E-10</v>
      </c>
      <c r="E621" s="2">
        <f t="shared" si="57"/>
        <v>0.01</v>
      </c>
      <c r="F621" s="2">
        <f t="shared" si="58"/>
        <v>0.01</v>
      </c>
      <c r="G621" s="2">
        <f t="shared" si="59"/>
        <v>0</v>
      </c>
      <c r="H621" s="2">
        <f>IF(G621=Training_Data!F621,1,0)</f>
        <v>1</v>
      </c>
    </row>
    <row r="622" spans="1:8" x14ac:dyDescent="0.2">
      <c r="A622" s="2">
        <f>$L$2+SUMPRODUCT($M$2:$Q$2,Training_Data!A622:E622)</f>
        <v>381.69299999999993</v>
      </c>
      <c r="B622" s="2">
        <f t="shared" si="54"/>
        <v>381.69299999999993</v>
      </c>
      <c r="C622" s="2">
        <f t="shared" si="55"/>
        <v>100</v>
      </c>
      <c r="D622" s="2">
        <f t="shared" si="56"/>
        <v>1</v>
      </c>
      <c r="E622" s="2">
        <f t="shared" si="57"/>
        <v>1</v>
      </c>
      <c r="F622" s="2">
        <f t="shared" si="58"/>
        <v>0.99</v>
      </c>
      <c r="G622" s="2">
        <f t="shared" si="59"/>
        <v>1</v>
      </c>
      <c r="H622" s="2">
        <f>IF(G622=Training_Data!F622,1,0)</f>
        <v>0</v>
      </c>
    </row>
    <row r="623" spans="1:8" x14ac:dyDescent="0.2">
      <c r="A623" s="2">
        <f>$L$2+SUMPRODUCT($M$2:$Q$2,Training_Data!A623:E623)</f>
        <v>1580.4630000000002</v>
      </c>
      <c r="B623" s="2">
        <f t="shared" si="54"/>
        <v>1580.4630000000002</v>
      </c>
      <c r="C623" s="2">
        <f t="shared" si="55"/>
        <v>100</v>
      </c>
      <c r="D623" s="2">
        <f t="shared" si="56"/>
        <v>1</v>
      </c>
      <c r="E623" s="2">
        <f t="shared" si="57"/>
        <v>1</v>
      </c>
      <c r="F623" s="2">
        <f t="shared" si="58"/>
        <v>0.99</v>
      </c>
      <c r="G623" s="2">
        <f t="shared" si="59"/>
        <v>1</v>
      </c>
      <c r="H623" s="2">
        <f>IF(G623=Training_Data!F623,1,0)</f>
        <v>0</v>
      </c>
    </row>
    <row r="624" spans="1:8" x14ac:dyDescent="0.2">
      <c r="A624" s="2">
        <f>$L$2+SUMPRODUCT($M$2:$Q$2,Training_Data!A624:E624)</f>
        <v>1128.1500000000001</v>
      </c>
      <c r="B624" s="2">
        <f t="shared" si="54"/>
        <v>1128.1500000000001</v>
      </c>
      <c r="C624" s="2">
        <f t="shared" si="55"/>
        <v>100</v>
      </c>
      <c r="D624" s="2">
        <f t="shared" si="56"/>
        <v>1</v>
      </c>
      <c r="E624" s="2">
        <f t="shared" si="57"/>
        <v>1</v>
      </c>
      <c r="F624" s="2">
        <f t="shared" si="58"/>
        <v>0.99</v>
      </c>
      <c r="G624" s="2">
        <f t="shared" si="59"/>
        <v>1</v>
      </c>
      <c r="H624" s="2">
        <f>IF(G624=Training_Data!F624,1,0)</f>
        <v>0</v>
      </c>
    </row>
    <row r="625" spans="1:8" x14ac:dyDescent="0.2">
      <c r="A625" s="2">
        <f>$L$2+SUMPRODUCT($M$2:$Q$2,Training_Data!A625:E625)</f>
        <v>3.2780000000000005</v>
      </c>
      <c r="B625" s="2">
        <f t="shared" si="54"/>
        <v>3.2780000000000005</v>
      </c>
      <c r="C625" s="2">
        <f t="shared" si="55"/>
        <v>3.2780000000000005</v>
      </c>
      <c r="D625" s="2">
        <f t="shared" si="56"/>
        <v>0.96366632144216802</v>
      </c>
      <c r="E625" s="2">
        <f t="shared" si="57"/>
        <v>0.96366632144216802</v>
      </c>
      <c r="F625" s="2">
        <f t="shared" si="58"/>
        <v>0.96366632144216802</v>
      </c>
      <c r="G625" s="2">
        <f t="shared" si="59"/>
        <v>1</v>
      </c>
      <c r="H625" s="2">
        <f>IF(G625=Training_Data!F625,1,0)</f>
        <v>0</v>
      </c>
    </row>
    <row r="626" spans="1:8" x14ac:dyDescent="0.2">
      <c r="A626" s="2">
        <f>$L$2+SUMPRODUCT($M$2:$Q$2,Training_Data!A626:E626)</f>
        <v>430.71499999999997</v>
      </c>
      <c r="B626" s="2">
        <f t="shared" si="54"/>
        <v>430.71499999999997</v>
      </c>
      <c r="C626" s="2">
        <f t="shared" si="55"/>
        <v>100</v>
      </c>
      <c r="D626" s="2">
        <f t="shared" si="56"/>
        <v>1</v>
      </c>
      <c r="E626" s="2">
        <f t="shared" si="57"/>
        <v>1</v>
      </c>
      <c r="F626" s="2">
        <f t="shared" si="58"/>
        <v>0.99</v>
      </c>
      <c r="G626" s="2">
        <f t="shared" si="59"/>
        <v>1</v>
      </c>
      <c r="H626" s="2">
        <f>IF(G626=Training_Data!F626,1,0)</f>
        <v>0</v>
      </c>
    </row>
    <row r="627" spans="1:8" x14ac:dyDescent="0.2">
      <c r="A627" s="2">
        <f>$L$2+SUMPRODUCT($M$2:$Q$2,Training_Data!A627:E627)</f>
        <v>621.29700000000003</v>
      </c>
      <c r="B627" s="2">
        <f t="shared" si="54"/>
        <v>621.29700000000003</v>
      </c>
      <c r="C627" s="2">
        <f t="shared" si="55"/>
        <v>100</v>
      </c>
      <c r="D627" s="2">
        <f t="shared" si="56"/>
        <v>1</v>
      </c>
      <c r="E627" s="2">
        <f t="shared" si="57"/>
        <v>1</v>
      </c>
      <c r="F627" s="2">
        <f t="shared" si="58"/>
        <v>0.99</v>
      </c>
      <c r="G627" s="2">
        <f t="shared" si="59"/>
        <v>1</v>
      </c>
      <c r="H627" s="2">
        <f>IF(G627=Training_Data!F627,1,0)</f>
        <v>0</v>
      </c>
    </row>
    <row r="628" spans="1:8" x14ac:dyDescent="0.2">
      <c r="A628" s="2">
        <f>$L$2+SUMPRODUCT($M$2:$Q$2,Training_Data!A628:E628)</f>
        <v>107.878</v>
      </c>
      <c r="B628" s="2">
        <f t="shared" si="54"/>
        <v>107.878</v>
      </c>
      <c r="C628" s="2">
        <f t="shared" si="55"/>
        <v>100</v>
      </c>
      <c r="D628" s="2">
        <f t="shared" si="56"/>
        <v>1</v>
      </c>
      <c r="E628" s="2">
        <f t="shared" si="57"/>
        <v>1</v>
      </c>
      <c r="F628" s="2">
        <f t="shared" si="58"/>
        <v>0.99</v>
      </c>
      <c r="G628" s="2">
        <f t="shared" si="59"/>
        <v>1</v>
      </c>
      <c r="H628" s="2">
        <f>IF(G628=Training_Data!F628,1,0)</f>
        <v>0</v>
      </c>
    </row>
    <row r="629" spans="1:8" x14ac:dyDescent="0.2">
      <c r="A629" s="2">
        <f>$L$2+SUMPRODUCT($M$2:$Q$2,Training_Data!A629:E629)</f>
        <v>519.45300000000009</v>
      </c>
      <c r="B629" s="2">
        <f t="shared" si="54"/>
        <v>519.45300000000009</v>
      </c>
      <c r="C629" s="2">
        <f t="shared" si="55"/>
        <v>100</v>
      </c>
      <c r="D629" s="2">
        <f t="shared" si="56"/>
        <v>1</v>
      </c>
      <c r="E629" s="2">
        <f t="shared" si="57"/>
        <v>1</v>
      </c>
      <c r="F629" s="2">
        <f t="shared" si="58"/>
        <v>0.99</v>
      </c>
      <c r="G629" s="2">
        <f t="shared" si="59"/>
        <v>1</v>
      </c>
      <c r="H629" s="2">
        <f>IF(G629=Training_Data!F629,1,0)</f>
        <v>0</v>
      </c>
    </row>
    <row r="630" spans="1:8" x14ac:dyDescent="0.2">
      <c r="A630" s="2">
        <f>$L$2+SUMPRODUCT($M$2:$Q$2,Training_Data!A630:E630)</f>
        <v>173.166</v>
      </c>
      <c r="B630" s="2">
        <f t="shared" si="54"/>
        <v>173.166</v>
      </c>
      <c r="C630" s="2">
        <f t="shared" si="55"/>
        <v>100</v>
      </c>
      <c r="D630" s="2">
        <f t="shared" si="56"/>
        <v>1</v>
      </c>
      <c r="E630" s="2">
        <f t="shared" si="57"/>
        <v>1</v>
      </c>
      <c r="F630" s="2">
        <f t="shared" si="58"/>
        <v>0.99</v>
      </c>
      <c r="G630" s="2">
        <f t="shared" si="59"/>
        <v>1</v>
      </c>
      <c r="H630" s="2">
        <f>IF(G630=Training_Data!F630,1,0)</f>
        <v>0</v>
      </c>
    </row>
    <row r="631" spans="1:8" x14ac:dyDescent="0.2">
      <c r="A631" s="2">
        <f>$L$2+SUMPRODUCT($M$2:$Q$2,Training_Data!A631:E631)</f>
        <v>359.15000000000003</v>
      </c>
      <c r="B631" s="2">
        <f t="shared" si="54"/>
        <v>359.15000000000003</v>
      </c>
      <c r="C631" s="2">
        <f t="shared" si="55"/>
        <v>100</v>
      </c>
      <c r="D631" s="2">
        <f t="shared" si="56"/>
        <v>1</v>
      </c>
      <c r="E631" s="2">
        <f t="shared" si="57"/>
        <v>1</v>
      </c>
      <c r="F631" s="2">
        <f t="shared" si="58"/>
        <v>0.99</v>
      </c>
      <c r="G631" s="2">
        <f t="shared" si="59"/>
        <v>1</v>
      </c>
      <c r="H631" s="2">
        <f>IF(G631=Training_Data!F631,1,0)</f>
        <v>0</v>
      </c>
    </row>
    <row r="632" spans="1:8" x14ac:dyDescent="0.2">
      <c r="A632" s="2">
        <f>$L$2+SUMPRODUCT($M$2:$Q$2,Training_Data!A632:E632)</f>
        <v>281.25099999999998</v>
      </c>
      <c r="B632" s="2">
        <f t="shared" si="54"/>
        <v>281.25099999999998</v>
      </c>
      <c r="C632" s="2">
        <f t="shared" si="55"/>
        <v>100</v>
      </c>
      <c r="D632" s="2">
        <f t="shared" si="56"/>
        <v>1</v>
      </c>
      <c r="E632" s="2">
        <f t="shared" si="57"/>
        <v>1</v>
      </c>
      <c r="F632" s="2">
        <f t="shared" si="58"/>
        <v>0.99</v>
      </c>
      <c r="G632" s="2">
        <f t="shared" si="59"/>
        <v>1</v>
      </c>
      <c r="H632" s="2">
        <f>IF(G632=Training_Data!F632,1,0)</f>
        <v>0</v>
      </c>
    </row>
    <row r="633" spans="1:8" x14ac:dyDescent="0.2">
      <c r="A633" s="2">
        <f>$L$2+SUMPRODUCT($M$2:$Q$2,Training_Data!A633:E633)</f>
        <v>-3.2719999999999976</v>
      </c>
      <c r="B633" s="2">
        <f t="shared" si="54"/>
        <v>-3.2719999999999976</v>
      </c>
      <c r="C633" s="2">
        <f t="shared" si="55"/>
        <v>-3.2719999999999976</v>
      </c>
      <c r="D633" s="2">
        <f t="shared" si="56"/>
        <v>3.6544345254307289E-2</v>
      </c>
      <c r="E633" s="2">
        <f t="shared" si="57"/>
        <v>3.6544345254307289E-2</v>
      </c>
      <c r="F633" s="2">
        <f t="shared" si="58"/>
        <v>3.6544345254307289E-2</v>
      </c>
      <c r="G633" s="2">
        <f t="shared" si="59"/>
        <v>0</v>
      </c>
      <c r="H633" s="2">
        <f>IF(G633=Training_Data!F633,1,0)</f>
        <v>1</v>
      </c>
    </row>
    <row r="634" spans="1:8" x14ac:dyDescent="0.2">
      <c r="A634" s="2">
        <f>$L$2+SUMPRODUCT($M$2:$Q$2,Training_Data!A634:E634)</f>
        <v>600.86900000000014</v>
      </c>
      <c r="B634" s="2">
        <f t="shared" si="54"/>
        <v>600.86900000000014</v>
      </c>
      <c r="C634" s="2">
        <f t="shared" si="55"/>
        <v>100</v>
      </c>
      <c r="D634" s="2">
        <f t="shared" si="56"/>
        <v>1</v>
      </c>
      <c r="E634" s="2">
        <f t="shared" si="57"/>
        <v>1</v>
      </c>
      <c r="F634" s="2">
        <f t="shared" si="58"/>
        <v>0.99</v>
      </c>
      <c r="G634" s="2">
        <f t="shared" si="59"/>
        <v>1</v>
      </c>
      <c r="H634" s="2">
        <f>IF(G634=Training_Data!F634,1,0)</f>
        <v>0</v>
      </c>
    </row>
    <row r="635" spans="1:8" x14ac:dyDescent="0.2">
      <c r="A635" s="2">
        <f>$L$2+SUMPRODUCT($M$2:$Q$2,Training_Data!A635:E635)</f>
        <v>1221.7850000000001</v>
      </c>
      <c r="B635" s="2">
        <f t="shared" si="54"/>
        <v>1221.7850000000001</v>
      </c>
      <c r="C635" s="2">
        <f t="shared" si="55"/>
        <v>100</v>
      </c>
      <c r="D635" s="2">
        <f t="shared" si="56"/>
        <v>1</v>
      </c>
      <c r="E635" s="2">
        <f t="shared" si="57"/>
        <v>1</v>
      </c>
      <c r="F635" s="2">
        <f t="shared" si="58"/>
        <v>0.99</v>
      </c>
      <c r="G635" s="2">
        <f t="shared" si="59"/>
        <v>1</v>
      </c>
      <c r="H635" s="2">
        <f>IF(G635=Training_Data!F635,1,0)</f>
        <v>0</v>
      </c>
    </row>
    <row r="636" spans="1:8" x14ac:dyDescent="0.2">
      <c r="A636" s="2">
        <f>$L$2+SUMPRODUCT($M$2:$Q$2,Training_Data!A636:E636)</f>
        <v>206.74999999999997</v>
      </c>
      <c r="B636" s="2">
        <f t="shared" si="54"/>
        <v>206.74999999999997</v>
      </c>
      <c r="C636" s="2">
        <f t="shared" si="55"/>
        <v>100</v>
      </c>
      <c r="D636" s="2">
        <f t="shared" si="56"/>
        <v>1</v>
      </c>
      <c r="E636" s="2">
        <f t="shared" si="57"/>
        <v>1</v>
      </c>
      <c r="F636" s="2">
        <f t="shared" si="58"/>
        <v>0.99</v>
      </c>
      <c r="G636" s="2">
        <f t="shared" si="59"/>
        <v>1</v>
      </c>
      <c r="H636" s="2">
        <f>IF(G636=Training_Data!F636,1,0)</f>
        <v>0</v>
      </c>
    </row>
    <row r="637" spans="1:8" x14ac:dyDescent="0.2">
      <c r="A637" s="2">
        <f>$L$2+SUMPRODUCT($M$2:$Q$2,Training_Data!A637:E637)</f>
        <v>532.47800000000007</v>
      </c>
      <c r="B637" s="2">
        <f t="shared" si="54"/>
        <v>532.47800000000007</v>
      </c>
      <c r="C637" s="2">
        <f t="shared" si="55"/>
        <v>100</v>
      </c>
      <c r="D637" s="2">
        <f t="shared" si="56"/>
        <v>1</v>
      </c>
      <c r="E637" s="2">
        <f t="shared" si="57"/>
        <v>1</v>
      </c>
      <c r="F637" s="2">
        <f t="shared" si="58"/>
        <v>0.99</v>
      </c>
      <c r="G637" s="2">
        <f t="shared" si="59"/>
        <v>1</v>
      </c>
      <c r="H637" s="2">
        <f>IF(G637=Training_Data!F637,1,0)</f>
        <v>0</v>
      </c>
    </row>
    <row r="638" spans="1:8" x14ac:dyDescent="0.2">
      <c r="A638" s="2">
        <f>$L$2+SUMPRODUCT($M$2:$Q$2,Training_Data!A638:E638)</f>
        <v>4.6279999999999983</v>
      </c>
      <c r="B638" s="2">
        <f t="shared" si="54"/>
        <v>4.6279999999999983</v>
      </c>
      <c r="C638" s="2">
        <f t="shared" si="55"/>
        <v>4.6279999999999983</v>
      </c>
      <c r="D638" s="2">
        <f t="shared" si="56"/>
        <v>0.99032032380121993</v>
      </c>
      <c r="E638" s="2">
        <f t="shared" si="57"/>
        <v>0.99032032380121993</v>
      </c>
      <c r="F638" s="2">
        <f t="shared" si="58"/>
        <v>0.99</v>
      </c>
      <c r="G638" s="2">
        <f t="shared" si="59"/>
        <v>1</v>
      </c>
      <c r="H638" s="2">
        <f>IF(G638=Training_Data!F638,1,0)</f>
        <v>0</v>
      </c>
    </row>
    <row r="639" spans="1:8" x14ac:dyDescent="0.2">
      <c r="A639" s="2">
        <f>$L$2+SUMPRODUCT($M$2:$Q$2,Training_Data!A639:E639)</f>
        <v>266.64999999999998</v>
      </c>
      <c r="B639" s="2">
        <f t="shared" si="54"/>
        <v>266.64999999999998</v>
      </c>
      <c r="C639" s="2">
        <f t="shared" si="55"/>
        <v>100</v>
      </c>
      <c r="D639" s="2">
        <f t="shared" si="56"/>
        <v>1</v>
      </c>
      <c r="E639" s="2">
        <f t="shared" si="57"/>
        <v>1</v>
      </c>
      <c r="F639" s="2">
        <f t="shared" si="58"/>
        <v>0.99</v>
      </c>
      <c r="G639" s="2">
        <f t="shared" si="59"/>
        <v>1</v>
      </c>
      <c r="H639" s="2">
        <f>IF(G639=Training_Data!F639,1,0)</f>
        <v>0</v>
      </c>
    </row>
    <row r="640" spans="1:8" x14ac:dyDescent="0.2">
      <c r="A640" s="2">
        <f>$L$2+SUMPRODUCT($M$2:$Q$2,Training_Data!A640:E640)</f>
        <v>196.42499999999998</v>
      </c>
      <c r="B640" s="2">
        <f t="shared" si="54"/>
        <v>196.42499999999998</v>
      </c>
      <c r="C640" s="2">
        <f t="shared" si="55"/>
        <v>100</v>
      </c>
      <c r="D640" s="2">
        <f t="shared" si="56"/>
        <v>1</v>
      </c>
      <c r="E640" s="2">
        <f t="shared" si="57"/>
        <v>1</v>
      </c>
      <c r="F640" s="2">
        <f t="shared" si="58"/>
        <v>0.99</v>
      </c>
      <c r="G640" s="2">
        <f t="shared" si="59"/>
        <v>1</v>
      </c>
      <c r="H640" s="2">
        <f>IF(G640=Training_Data!F640,1,0)</f>
        <v>0</v>
      </c>
    </row>
    <row r="641" spans="1:8" x14ac:dyDescent="0.2">
      <c r="A641" s="2">
        <f>$L$2+SUMPRODUCT($M$2:$Q$2,Training_Data!A641:E641)</f>
        <v>143.32799999999997</v>
      </c>
      <c r="B641" s="2">
        <f t="shared" si="54"/>
        <v>143.32799999999997</v>
      </c>
      <c r="C641" s="2">
        <f t="shared" si="55"/>
        <v>100</v>
      </c>
      <c r="D641" s="2">
        <f t="shared" si="56"/>
        <v>1</v>
      </c>
      <c r="E641" s="2">
        <f t="shared" si="57"/>
        <v>1</v>
      </c>
      <c r="F641" s="2">
        <f t="shared" si="58"/>
        <v>0.99</v>
      </c>
      <c r="G641" s="2">
        <f t="shared" si="59"/>
        <v>1</v>
      </c>
      <c r="H641" s="2">
        <f>IF(G641=Training_Data!F641,1,0)</f>
        <v>0</v>
      </c>
    </row>
    <row r="642" spans="1:8" x14ac:dyDescent="0.2">
      <c r="A642" s="2">
        <f>$L$2+SUMPRODUCT($M$2:$Q$2,Training_Data!A642:E642)</f>
        <v>188.1</v>
      </c>
      <c r="B642" s="2">
        <f t="shared" si="54"/>
        <v>188.1</v>
      </c>
      <c r="C642" s="2">
        <f t="shared" si="55"/>
        <v>100</v>
      </c>
      <c r="D642" s="2">
        <f t="shared" si="56"/>
        <v>1</v>
      </c>
      <c r="E642" s="2">
        <f t="shared" si="57"/>
        <v>1</v>
      </c>
      <c r="F642" s="2">
        <f t="shared" si="58"/>
        <v>0.99</v>
      </c>
      <c r="G642" s="2">
        <f t="shared" si="59"/>
        <v>1</v>
      </c>
      <c r="H642" s="2">
        <f>IF(G642=Training_Data!F642,1,0)</f>
        <v>0</v>
      </c>
    </row>
    <row r="643" spans="1:8" x14ac:dyDescent="0.2">
      <c r="A643" s="2">
        <f>$L$2+SUMPRODUCT($M$2:$Q$2,Training_Data!A643:E643)</f>
        <v>-23.786999999999999</v>
      </c>
      <c r="B643" s="2">
        <f t="shared" ref="B643:B667" si="60">IF(A643&lt;-100,-100,A643)</f>
        <v>-23.786999999999999</v>
      </c>
      <c r="C643" s="2">
        <f t="shared" ref="C643:C667" si="61">IF(B643&gt;100,100,B643)</f>
        <v>-23.786999999999999</v>
      </c>
      <c r="D643" s="2">
        <f t="shared" ref="D643:D667" si="62">1/(1+EXP(-C643))</f>
        <v>4.6712935412522559E-11</v>
      </c>
      <c r="E643" s="2">
        <f t="shared" ref="E643:E667" si="63">IF(D643&lt;0.01,0.01,D643)</f>
        <v>0.01</v>
      </c>
      <c r="F643" s="2">
        <f t="shared" ref="F643:F667" si="64">IF(E643&gt;0.99,0.99, E643)</f>
        <v>0.01</v>
      </c>
      <c r="G643" s="2">
        <f t="shared" ref="G643:G667" si="65">IF(F643&gt;0.5,1,0)</f>
        <v>0</v>
      </c>
      <c r="H643" s="2">
        <f>IF(G643=Training_Data!F643,1,0)</f>
        <v>1</v>
      </c>
    </row>
    <row r="644" spans="1:8" x14ac:dyDescent="0.2">
      <c r="A644" s="2">
        <f>$L$2+SUMPRODUCT($M$2:$Q$2,Training_Data!A644:E644)</f>
        <v>245.42499999999998</v>
      </c>
      <c r="B644" s="2">
        <f t="shared" si="60"/>
        <v>245.42499999999998</v>
      </c>
      <c r="C644" s="2">
        <f t="shared" si="61"/>
        <v>100</v>
      </c>
      <c r="D644" s="2">
        <f t="shared" si="62"/>
        <v>1</v>
      </c>
      <c r="E644" s="2">
        <f t="shared" si="63"/>
        <v>1</v>
      </c>
      <c r="F644" s="2">
        <f t="shared" si="64"/>
        <v>0.99</v>
      </c>
      <c r="G644" s="2">
        <f t="shared" si="65"/>
        <v>1</v>
      </c>
      <c r="H644" s="2">
        <f>IF(G644=Training_Data!F644,1,0)</f>
        <v>0</v>
      </c>
    </row>
    <row r="645" spans="1:8" x14ac:dyDescent="0.2">
      <c r="A645" s="2">
        <f>$L$2+SUMPRODUCT($M$2:$Q$2,Training_Data!A645:E645)</f>
        <v>112.91</v>
      </c>
      <c r="B645" s="2">
        <f t="shared" si="60"/>
        <v>112.91</v>
      </c>
      <c r="C645" s="2">
        <f t="shared" si="61"/>
        <v>100</v>
      </c>
      <c r="D645" s="2">
        <f t="shared" si="62"/>
        <v>1</v>
      </c>
      <c r="E645" s="2">
        <f t="shared" si="63"/>
        <v>1</v>
      </c>
      <c r="F645" s="2">
        <f t="shared" si="64"/>
        <v>0.99</v>
      </c>
      <c r="G645" s="2">
        <f t="shared" si="65"/>
        <v>1</v>
      </c>
      <c r="H645" s="2">
        <f>IF(G645=Training_Data!F645,1,0)</f>
        <v>0</v>
      </c>
    </row>
    <row r="646" spans="1:8" x14ac:dyDescent="0.2">
      <c r="A646" s="2">
        <f>$L$2+SUMPRODUCT($M$2:$Q$2,Training_Data!A646:E646)</f>
        <v>306.25600000000003</v>
      </c>
      <c r="B646" s="2">
        <f t="shared" si="60"/>
        <v>306.25600000000003</v>
      </c>
      <c r="C646" s="2">
        <f t="shared" si="61"/>
        <v>100</v>
      </c>
      <c r="D646" s="2">
        <f t="shared" si="62"/>
        <v>1</v>
      </c>
      <c r="E646" s="2">
        <f t="shared" si="63"/>
        <v>1</v>
      </c>
      <c r="F646" s="2">
        <f t="shared" si="64"/>
        <v>0.99</v>
      </c>
      <c r="G646" s="2">
        <f t="shared" si="65"/>
        <v>1</v>
      </c>
      <c r="H646" s="2">
        <f>IF(G646=Training_Data!F646,1,0)</f>
        <v>0</v>
      </c>
    </row>
    <row r="647" spans="1:8" x14ac:dyDescent="0.2">
      <c r="A647" s="2">
        <f>$L$2+SUMPRODUCT($M$2:$Q$2,Training_Data!A647:E647)</f>
        <v>124.441</v>
      </c>
      <c r="B647" s="2">
        <f t="shared" si="60"/>
        <v>124.441</v>
      </c>
      <c r="C647" s="2">
        <f t="shared" si="61"/>
        <v>100</v>
      </c>
      <c r="D647" s="2">
        <f t="shared" si="62"/>
        <v>1</v>
      </c>
      <c r="E647" s="2">
        <f t="shared" si="63"/>
        <v>1</v>
      </c>
      <c r="F647" s="2">
        <f t="shared" si="64"/>
        <v>0.99</v>
      </c>
      <c r="G647" s="2">
        <f t="shared" si="65"/>
        <v>1</v>
      </c>
      <c r="H647" s="2">
        <f>IF(G647=Training_Data!F647,1,0)</f>
        <v>0</v>
      </c>
    </row>
    <row r="648" spans="1:8" x14ac:dyDescent="0.2">
      <c r="A648" s="2">
        <f>$L$2+SUMPRODUCT($M$2:$Q$2,Training_Data!A648:E648)</f>
        <v>1069.4840000000002</v>
      </c>
      <c r="B648" s="2">
        <f t="shared" si="60"/>
        <v>1069.4840000000002</v>
      </c>
      <c r="C648" s="2">
        <f t="shared" si="61"/>
        <v>100</v>
      </c>
      <c r="D648" s="2">
        <f t="shared" si="62"/>
        <v>1</v>
      </c>
      <c r="E648" s="2">
        <f t="shared" si="63"/>
        <v>1</v>
      </c>
      <c r="F648" s="2">
        <f t="shared" si="64"/>
        <v>0.99</v>
      </c>
      <c r="G648" s="2">
        <f t="shared" si="65"/>
        <v>1</v>
      </c>
      <c r="H648" s="2">
        <f>IF(G648=Training_Data!F648,1,0)</f>
        <v>0</v>
      </c>
    </row>
    <row r="649" spans="1:8" x14ac:dyDescent="0.2">
      <c r="A649" s="2">
        <f>$L$2+SUMPRODUCT($M$2:$Q$2,Training_Data!A649:E649)</f>
        <v>16.990000000000006</v>
      </c>
      <c r="B649" s="2">
        <f t="shared" si="60"/>
        <v>16.990000000000006</v>
      </c>
      <c r="C649" s="2">
        <f t="shared" si="61"/>
        <v>16.990000000000006</v>
      </c>
      <c r="D649" s="2">
        <f t="shared" si="62"/>
        <v>0.99999995818455401</v>
      </c>
      <c r="E649" s="2">
        <f t="shared" si="63"/>
        <v>0.99999995818455401</v>
      </c>
      <c r="F649" s="2">
        <f t="shared" si="64"/>
        <v>0.99</v>
      </c>
      <c r="G649" s="2">
        <f t="shared" si="65"/>
        <v>1</v>
      </c>
      <c r="H649" s="2">
        <f>IF(G649=Training_Data!F649,1,0)</f>
        <v>0</v>
      </c>
    </row>
    <row r="650" spans="1:8" x14ac:dyDescent="0.2">
      <c r="A650" s="2">
        <f>$L$2+SUMPRODUCT($M$2:$Q$2,Training_Data!A650:E650)</f>
        <v>648.61200000000008</v>
      </c>
      <c r="B650" s="2">
        <f t="shared" si="60"/>
        <v>648.61200000000008</v>
      </c>
      <c r="C650" s="2">
        <f t="shared" si="61"/>
        <v>100</v>
      </c>
      <c r="D650" s="2">
        <f t="shared" si="62"/>
        <v>1</v>
      </c>
      <c r="E650" s="2">
        <f t="shared" si="63"/>
        <v>1</v>
      </c>
      <c r="F650" s="2">
        <f t="shared" si="64"/>
        <v>0.99</v>
      </c>
      <c r="G650" s="2">
        <f t="shared" si="65"/>
        <v>1</v>
      </c>
      <c r="H650" s="2">
        <f>IF(G650=Training_Data!F650,1,0)</f>
        <v>0</v>
      </c>
    </row>
    <row r="651" spans="1:8" x14ac:dyDescent="0.2">
      <c r="A651" s="2">
        <f>$L$2+SUMPRODUCT($M$2:$Q$2,Training_Data!A651:E651)</f>
        <v>373.34999999999997</v>
      </c>
      <c r="B651" s="2">
        <f t="shared" si="60"/>
        <v>373.34999999999997</v>
      </c>
      <c r="C651" s="2">
        <f t="shared" si="61"/>
        <v>100</v>
      </c>
      <c r="D651" s="2">
        <f t="shared" si="62"/>
        <v>1</v>
      </c>
      <c r="E651" s="2">
        <f t="shared" si="63"/>
        <v>1</v>
      </c>
      <c r="F651" s="2">
        <f t="shared" si="64"/>
        <v>0.99</v>
      </c>
      <c r="G651" s="2">
        <f t="shared" si="65"/>
        <v>1</v>
      </c>
      <c r="H651" s="2">
        <f>IF(G651=Training_Data!F651,1,0)</f>
        <v>0</v>
      </c>
    </row>
    <row r="652" spans="1:8" x14ac:dyDescent="0.2">
      <c r="A652" s="2">
        <f>$L$2+SUMPRODUCT($M$2:$Q$2,Training_Data!A652:E652)</f>
        <v>1102.181</v>
      </c>
      <c r="B652" s="2">
        <f t="shared" si="60"/>
        <v>1102.181</v>
      </c>
      <c r="C652" s="2">
        <f t="shared" si="61"/>
        <v>100</v>
      </c>
      <c r="D652" s="2">
        <f t="shared" si="62"/>
        <v>1</v>
      </c>
      <c r="E652" s="2">
        <f t="shared" si="63"/>
        <v>1</v>
      </c>
      <c r="F652" s="2">
        <f t="shared" si="64"/>
        <v>0.99</v>
      </c>
      <c r="G652" s="2">
        <f t="shared" si="65"/>
        <v>1</v>
      </c>
      <c r="H652" s="2">
        <f>IF(G652=Training_Data!F652,1,0)</f>
        <v>0</v>
      </c>
    </row>
    <row r="653" spans="1:8" x14ac:dyDescent="0.2">
      <c r="A653" s="2">
        <f>$L$2+SUMPRODUCT($M$2:$Q$2,Training_Data!A653:E653)</f>
        <v>1041.1630000000002</v>
      </c>
      <c r="B653" s="2">
        <f t="shared" si="60"/>
        <v>1041.1630000000002</v>
      </c>
      <c r="C653" s="2">
        <f t="shared" si="61"/>
        <v>100</v>
      </c>
      <c r="D653" s="2">
        <f t="shared" si="62"/>
        <v>1</v>
      </c>
      <c r="E653" s="2">
        <f t="shared" si="63"/>
        <v>1</v>
      </c>
      <c r="F653" s="2">
        <f t="shared" si="64"/>
        <v>0.99</v>
      </c>
      <c r="G653" s="2">
        <f t="shared" si="65"/>
        <v>1</v>
      </c>
      <c r="H653" s="2">
        <f>IF(G653=Training_Data!F653,1,0)</f>
        <v>0</v>
      </c>
    </row>
    <row r="654" spans="1:8" x14ac:dyDescent="0.2">
      <c r="A654" s="2">
        <f>$L$2+SUMPRODUCT($M$2:$Q$2,Training_Data!A654:E654)</f>
        <v>178.09399999999999</v>
      </c>
      <c r="B654" s="2">
        <f t="shared" si="60"/>
        <v>178.09399999999999</v>
      </c>
      <c r="C654" s="2">
        <f t="shared" si="61"/>
        <v>100</v>
      </c>
      <c r="D654" s="2">
        <f t="shared" si="62"/>
        <v>1</v>
      </c>
      <c r="E654" s="2">
        <f t="shared" si="63"/>
        <v>1</v>
      </c>
      <c r="F654" s="2">
        <f t="shared" si="64"/>
        <v>0.99</v>
      </c>
      <c r="G654" s="2">
        <f t="shared" si="65"/>
        <v>1</v>
      </c>
      <c r="H654" s="2">
        <f>IF(G654=Training_Data!F654,1,0)</f>
        <v>0</v>
      </c>
    </row>
    <row r="655" spans="1:8" x14ac:dyDescent="0.2">
      <c r="A655" s="2">
        <f>$L$2+SUMPRODUCT($M$2:$Q$2,Training_Data!A655:E655)</f>
        <v>136.44399999999999</v>
      </c>
      <c r="B655" s="2">
        <f t="shared" si="60"/>
        <v>136.44399999999999</v>
      </c>
      <c r="C655" s="2">
        <f t="shared" si="61"/>
        <v>100</v>
      </c>
      <c r="D655" s="2">
        <f t="shared" si="62"/>
        <v>1</v>
      </c>
      <c r="E655" s="2">
        <f t="shared" si="63"/>
        <v>1</v>
      </c>
      <c r="F655" s="2">
        <f t="shared" si="64"/>
        <v>0.99</v>
      </c>
      <c r="G655" s="2">
        <f t="shared" si="65"/>
        <v>1</v>
      </c>
      <c r="H655" s="2">
        <f>IF(G655=Training_Data!F655,1,0)</f>
        <v>0</v>
      </c>
    </row>
    <row r="656" spans="1:8" x14ac:dyDescent="0.2">
      <c r="A656" s="2">
        <f>$L$2+SUMPRODUCT($M$2:$Q$2,Training_Data!A656:E656)</f>
        <v>171.03399999999999</v>
      </c>
      <c r="B656" s="2">
        <f t="shared" si="60"/>
        <v>171.03399999999999</v>
      </c>
      <c r="C656" s="2">
        <f t="shared" si="61"/>
        <v>100</v>
      </c>
      <c r="D656" s="2">
        <f t="shared" si="62"/>
        <v>1</v>
      </c>
      <c r="E656" s="2">
        <f t="shared" si="63"/>
        <v>1</v>
      </c>
      <c r="F656" s="2">
        <f t="shared" si="64"/>
        <v>0.99</v>
      </c>
      <c r="G656" s="2">
        <f t="shared" si="65"/>
        <v>1</v>
      </c>
      <c r="H656" s="2">
        <f>IF(G656=Training_Data!F656,1,0)</f>
        <v>0</v>
      </c>
    </row>
    <row r="657" spans="1:8" x14ac:dyDescent="0.2">
      <c r="A657" s="2">
        <f>$L$2+SUMPRODUCT($M$2:$Q$2,Training_Data!A657:E657)</f>
        <v>-10.622</v>
      </c>
      <c r="B657" s="2">
        <f t="shared" si="60"/>
        <v>-10.622</v>
      </c>
      <c r="C657" s="2">
        <f t="shared" si="61"/>
        <v>-10.622</v>
      </c>
      <c r="D657" s="2">
        <f t="shared" si="62"/>
        <v>2.4373249146530557E-5</v>
      </c>
      <c r="E657" s="2">
        <f t="shared" si="63"/>
        <v>0.01</v>
      </c>
      <c r="F657" s="2">
        <f t="shared" si="64"/>
        <v>0.01</v>
      </c>
      <c r="G657" s="2">
        <f t="shared" si="65"/>
        <v>0</v>
      </c>
      <c r="H657" s="2">
        <f>IF(G657=Training_Data!F657,1,0)</f>
        <v>1</v>
      </c>
    </row>
    <row r="658" spans="1:8" x14ac:dyDescent="0.2">
      <c r="A658" s="2">
        <f>$L$2+SUMPRODUCT($M$2:$Q$2,Training_Data!A658:E658)</f>
        <v>1517.11</v>
      </c>
      <c r="B658" s="2">
        <f t="shared" si="60"/>
        <v>1517.11</v>
      </c>
      <c r="C658" s="2">
        <f t="shared" si="61"/>
        <v>100</v>
      </c>
      <c r="D658" s="2">
        <f t="shared" si="62"/>
        <v>1</v>
      </c>
      <c r="E658" s="2">
        <f t="shared" si="63"/>
        <v>1</v>
      </c>
      <c r="F658" s="2">
        <f t="shared" si="64"/>
        <v>0.99</v>
      </c>
      <c r="G658" s="2">
        <f t="shared" si="65"/>
        <v>1</v>
      </c>
      <c r="H658" s="2">
        <f>IF(G658=Training_Data!F658,1,0)</f>
        <v>0</v>
      </c>
    </row>
    <row r="659" spans="1:8" x14ac:dyDescent="0.2">
      <c r="A659" s="2">
        <f>$L$2+SUMPRODUCT($M$2:$Q$2,Training_Data!A659:E659)</f>
        <v>1934.4530000000002</v>
      </c>
      <c r="B659" s="2">
        <f t="shared" si="60"/>
        <v>1934.4530000000002</v>
      </c>
      <c r="C659" s="2">
        <f t="shared" si="61"/>
        <v>100</v>
      </c>
      <c r="D659" s="2">
        <f t="shared" si="62"/>
        <v>1</v>
      </c>
      <c r="E659" s="2">
        <f t="shared" si="63"/>
        <v>1</v>
      </c>
      <c r="F659" s="2">
        <f t="shared" si="64"/>
        <v>0.99</v>
      </c>
      <c r="G659" s="2">
        <f t="shared" si="65"/>
        <v>1</v>
      </c>
      <c r="H659" s="2">
        <f>IF(G659=Training_Data!F659,1,0)</f>
        <v>0</v>
      </c>
    </row>
    <row r="660" spans="1:8" x14ac:dyDescent="0.2">
      <c r="A660" s="2">
        <f>$L$2+SUMPRODUCT($M$2:$Q$2,Training_Data!A660:E660)</f>
        <v>185.56899999999999</v>
      </c>
      <c r="B660" s="2">
        <f t="shared" si="60"/>
        <v>185.56899999999999</v>
      </c>
      <c r="C660" s="2">
        <f t="shared" si="61"/>
        <v>100</v>
      </c>
      <c r="D660" s="2">
        <f t="shared" si="62"/>
        <v>1</v>
      </c>
      <c r="E660" s="2">
        <f t="shared" si="63"/>
        <v>1</v>
      </c>
      <c r="F660" s="2">
        <f t="shared" si="64"/>
        <v>0.99</v>
      </c>
      <c r="G660" s="2">
        <f t="shared" si="65"/>
        <v>1</v>
      </c>
      <c r="H660" s="2">
        <f>IF(G660=Training_Data!F660,1,0)</f>
        <v>0</v>
      </c>
    </row>
    <row r="661" spans="1:8" x14ac:dyDescent="0.2">
      <c r="A661" s="2">
        <f>$L$2+SUMPRODUCT($M$2:$Q$2,Training_Data!A661:E661)</f>
        <v>296.22500000000002</v>
      </c>
      <c r="B661" s="2">
        <f t="shared" si="60"/>
        <v>296.22500000000002</v>
      </c>
      <c r="C661" s="2">
        <f t="shared" si="61"/>
        <v>100</v>
      </c>
      <c r="D661" s="2">
        <f t="shared" si="62"/>
        <v>1</v>
      </c>
      <c r="E661" s="2">
        <f t="shared" si="63"/>
        <v>1</v>
      </c>
      <c r="F661" s="2">
        <f t="shared" si="64"/>
        <v>0.99</v>
      </c>
      <c r="G661" s="2">
        <f t="shared" si="65"/>
        <v>1</v>
      </c>
      <c r="H661" s="2">
        <f>IF(G661=Training_Data!F661,1,0)</f>
        <v>0</v>
      </c>
    </row>
    <row r="662" spans="1:8" x14ac:dyDescent="0.2">
      <c r="A662" s="2">
        <f>$L$2+SUMPRODUCT($M$2:$Q$2,Training_Data!A662:E662)</f>
        <v>501.71600000000001</v>
      </c>
      <c r="B662" s="2">
        <f t="shared" si="60"/>
        <v>501.71600000000001</v>
      </c>
      <c r="C662" s="2">
        <f t="shared" si="61"/>
        <v>100</v>
      </c>
      <c r="D662" s="2">
        <f t="shared" si="62"/>
        <v>1</v>
      </c>
      <c r="E662" s="2">
        <f t="shared" si="63"/>
        <v>1</v>
      </c>
      <c r="F662" s="2">
        <f t="shared" si="64"/>
        <v>0.99</v>
      </c>
      <c r="G662" s="2">
        <f t="shared" si="65"/>
        <v>1</v>
      </c>
      <c r="H662" s="2">
        <f>IF(G662=Training_Data!F662,1,0)</f>
        <v>0</v>
      </c>
    </row>
    <row r="663" spans="1:8" x14ac:dyDescent="0.2">
      <c r="A663" s="2">
        <f>$L$2+SUMPRODUCT($M$2:$Q$2,Training_Data!A663:E663)</f>
        <v>348.16500000000002</v>
      </c>
      <c r="B663" s="2">
        <f t="shared" si="60"/>
        <v>348.16500000000002</v>
      </c>
      <c r="C663" s="2">
        <f t="shared" si="61"/>
        <v>100</v>
      </c>
      <c r="D663" s="2">
        <f t="shared" si="62"/>
        <v>1</v>
      </c>
      <c r="E663" s="2">
        <f t="shared" si="63"/>
        <v>1</v>
      </c>
      <c r="F663" s="2">
        <f t="shared" si="64"/>
        <v>0.99</v>
      </c>
      <c r="G663" s="2">
        <f t="shared" si="65"/>
        <v>1</v>
      </c>
      <c r="H663" s="2">
        <f>IF(G663=Training_Data!F663,1,0)</f>
        <v>0</v>
      </c>
    </row>
    <row r="664" spans="1:8" x14ac:dyDescent="0.2">
      <c r="A664" s="2">
        <f>$L$2+SUMPRODUCT($M$2:$Q$2,Training_Data!A664:E664)</f>
        <v>1510.3470000000002</v>
      </c>
      <c r="B664" s="2">
        <f t="shared" si="60"/>
        <v>1510.3470000000002</v>
      </c>
      <c r="C664" s="2">
        <f t="shared" si="61"/>
        <v>100</v>
      </c>
      <c r="D664" s="2">
        <f t="shared" si="62"/>
        <v>1</v>
      </c>
      <c r="E664" s="2">
        <f t="shared" si="63"/>
        <v>1</v>
      </c>
      <c r="F664" s="2">
        <f t="shared" si="64"/>
        <v>0.99</v>
      </c>
      <c r="G664" s="2">
        <f t="shared" si="65"/>
        <v>1</v>
      </c>
      <c r="H664" s="2">
        <f>IF(G664=Training_Data!F664,1,0)</f>
        <v>0</v>
      </c>
    </row>
    <row r="665" spans="1:8" x14ac:dyDescent="0.2">
      <c r="A665" s="2">
        <f>$L$2+SUMPRODUCT($M$2:$Q$2,Training_Data!A665:E665)</f>
        <v>278.47499999999997</v>
      </c>
      <c r="B665" s="2">
        <f t="shared" si="60"/>
        <v>278.47499999999997</v>
      </c>
      <c r="C665" s="2">
        <f t="shared" si="61"/>
        <v>100</v>
      </c>
      <c r="D665" s="2">
        <f t="shared" si="62"/>
        <v>1</v>
      </c>
      <c r="E665" s="2">
        <f t="shared" si="63"/>
        <v>1</v>
      </c>
      <c r="F665" s="2">
        <f t="shared" si="64"/>
        <v>0.99</v>
      </c>
      <c r="G665" s="2">
        <f t="shared" si="65"/>
        <v>1</v>
      </c>
      <c r="H665" s="2">
        <f>IF(G665=Training_Data!F665,1,0)</f>
        <v>0</v>
      </c>
    </row>
    <row r="666" spans="1:8" x14ac:dyDescent="0.2">
      <c r="A666" s="2">
        <f>$L$2+SUMPRODUCT($M$2:$Q$2,Training_Data!A666:E666)</f>
        <v>2753.0949999999998</v>
      </c>
      <c r="B666" s="2">
        <f t="shared" si="60"/>
        <v>2753.0949999999998</v>
      </c>
      <c r="C666" s="2">
        <f t="shared" si="61"/>
        <v>100</v>
      </c>
      <c r="D666" s="2">
        <f t="shared" si="62"/>
        <v>1</v>
      </c>
      <c r="E666" s="2">
        <f t="shared" si="63"/>
        <v>1</v>
      </c>
      <c r="F666" s="2">
        <f t="shared" si="64"/>
        <v>0.99</v>
      </c>
      <c r="G666" s="2">
        <f t="shared" si="65"/>
        <v>1</v>
      </c>
      <c r="H666" s="2">
        <f>IF(G666=Training_Data!F666,1,0)</f>
        <v>0</v>
      </c>
    </row>
    <row r="667" spans="1:8" x14ac:dyDescent="0.2">
      <c r="A667" s="2">
        <f>$L$2+SUMPRODUCT($M$2:$Q$2,Training_Data!A667:E667)</f>
        <v>-4.4530000000000003</v>
      </c>
      <c r="B667" s="2">
        <f t="shared" si="60"/>
        <v>-4.4530000000000003</v>
      </c>
      <c r="C667" s="2">
        <f t="shared" si="61"/>
        <v>-4.4530000000000003</v>
      </c>
      <c r="D667" s="2">
        <f t="shared" si="62"/>
        <v>1.1509571115080251E-2</v>
      </c>
      <c r="E667" s="2">
        <f t="shared" si="63"/>
        <v>1.1509571115080251E-2</v>
      </c>
      <c r="F667" s="2">
        <f t="shared" si="64"/>
        <v>1.1509571115080251E-2</v>
      </c>
      <c r="G667" s="2">
        <f t="shared" si="65"/>
        <v>0</v>
      </c>
      <c r="H667" s="2">
        <f>IF(G667=Training_Data!F667,1,0)</f>
        <v>1</v>
      </c>
    </row>
    <row r="668" spans="1:8" x14ac:dyDescent="0.2">
      <c r="A668" s="2"/>
      <c r="B668" s="2"/>
      <c r="C668" s="2"/>
      <c r="D668" s="2"/>
      <c r="E668" s="2"/>
      <c r="F668" s="2"/>
      <c r="G668" s="2"/>
      <c r="H668" s="2">
        <f>SUM(H2:H667)</f>
        <v>292</v>
      </c>
    </row>
  </sheetData>
  <conditionalFormatting sqref="H2:H667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Training_Data</vt:lpstr>
      <vt:lpstr>iteration1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Manachanallur S Ravi</cp:lastModifiedBy>
  <dcterms:created xsi:type="dcterms:W3CDTF">2019-12-20T23:47:21Z</dcterms:created>
  <dcterms:modified xsi:type="dcterms:W3CDTF">2021-02-14T22:02:08Z</dcterms:modified>
</cp:coreProperties>
</file>